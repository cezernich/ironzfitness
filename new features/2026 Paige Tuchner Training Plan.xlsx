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ources" sheetId="1" r:id="rId5"/>
    <sheet state="visible" name="Fueling" sheetId="2" r:id="rId6"/>
    <sheet state="visible" name="Strength" sheetId="3" r:id="rId7"/>
    <sheet state="visible" name="January " sheetId="4" r:id="rId8"/>
    <sheet state="visible" name="February " sheetId="5" r:id="rId9"/>
    <sheet state="visible" name="March " sheetId="6" r:id="rId10"/>
    <sheet state="visible" name="April " sheetId="7" r:id="rId11"/>
    <sheet state="visible" name="May " sheetId="8" r:id="rId12"/>
    <sheet state="visible" name="June" sheetId="9" r:id="rId13"/>
    <sheet state="visible" name="July" sheetId="10" r:id="rId14"/>
    <sheet state="visible" name="August" sheetId="11" r:id="rId15"/>
    <sheet state="visible" name="September" sheetId="12" r:id="rId16"/>
    <sheet state="visible" name="October" sheetId="13" r:id="rId17"/>
    <sheet state="visible" name="November" sheetId="14" r:id="rId18"/>
    <sheet state="visible" name="December" sheetId="15" r:id="rId19"/>
    <sheet state="hidden" name="May" sheetId="16" r:id="rId20"/>
  </sheets>
  <definedNames/>
  <calcPr/>
</workbook>
</file>

<file path=xl/sharedStrings.xml><?xml version="1.0" encoding="utf-8"?>
<sst xmlns="http://schemas.openxmlformats.org/spreadsheetml/2006/main" count="7274" uniqueCount="418">
  <si>
    <t xml:space="preserve"> </t>
  </si>
  <si>
    <t>Race 1</t>
  </si>
  <si>
    <t>Race 2</t>
  </si>
  <si>
    <t>Race 3</t>
  </si>
  <si>
    <t>Race 4</t>
  </si>
  <si>
    <t>Race 5</t>
  </si>
  <si>
    <t>Race 6</t>
  </si>
  <si>
    <t>Race 7</t>
  </si>
  <si>
    <t>Race 8</t>
  </si>
  <si>
    <t>Race 9</t>
  </si>
  <si>
    <t>Race 10</t>
  </si>
  <si>
    <t>Race 11</t>
  </si>
  <si>
    <t>Race 12</t>
  </si>
  <si>
    <t>Race 13</t>
  </si>
  <si>
    <t>Race 14</t>
  </si>
  <si>
    <t>Race 15</t>
  </si>
  <si>
    <t>Race 16</t>
  </si>
  <si>
    <t>Race Name</t>
  </si>
  <si>
    <t>Boston Marathon</t>
  </si>
  <si>
    <t>Chicago Marathon</t>
  </si>
  <si>
    <t>London 2027</t>
  </si>
  <si>
    <t>Race Date</t>
  </si>
  <si>
    <t>Notes</t>
  </si>
  <si>
    <t>Priority</t>
  </si>
  <si>
    <t>MAIN</t>
  </si>
  <si>
    <t>MAYBE</t>
  </si>
  <si>
    <t>Distance</t>
  </si>
  <si>
    <t>Marathon</t>
  </si>
  <si>
    <t>A Goal</t>
  </si>
  <si>
    <t>Mile Pace</t>
  </si>
  <si>
    <t>Km Pace</t>
  </si>
  <si>
    <t>B Goal</t>
  </si>
  <si>
    <t>First Race?</t>
  </si>
  <si>
    <t>No</t>
  </si>
  <si>
    <t>Course Type</t>
  </si>
  <si>
    <t>Semi-Hilly</t>
  </si>
  <si>
    <t>Flat</t>
  </si>
  <si>
    <t>Race Website</t>
  </si>
  <si>
    <t>LINK</t>
  </si>
  <si>
    <t>Result</t>
  </si>
  <si>
    <t>PRs BEFORE VERTIS</t>
  </si>
  <si>
    <t>TIME</t>
  </si>
  <si>
    <t>RACE</t>
  </si>
  <si>
    <t>PACE</t>
  </si>
  <si>
    <t>DATE</t>
  </si>
  <si>
    <t>NEW PERSONAL RECORDS/ RACES</t>
  </si>
  <si>
    <t>PR?</t>
  </si>
  <si>
    <t>PR AMOUNT</t>
  </si>
  <si>
    <t>100 Miler</t>
  </si>
  <si>
    <t>Go Hard or Go home Half</t>
  </si>
  <si>
    <t>3/22/25</t>
  </si>
  <si>
    <t>1:35:35</t>
  </si>
  <si>
    <t>Yes</t>
  </si>
  <si>
    <t>3:18</t>
  </si>
  <si>
    <t>100k</t>
  </si>
  <si>
    <t>Toronto Marathon</t>
  </si>
  <si>
    <t>5/4/25</t>
  </si>
  <si>
    <t>3:18:00</t>
  </si>
  <si>
    <t>8:58</t>
  </si>
  <si>
    <t>50k</t>
  </si>
  <si>
    <t>3:26</t>
  </si>
  <si>
    <t>30km</t>
  </si>
  <si>
    <t>25km</t>
  </si>
  <si>
    <t>Half</t>
  </si>
  <si>
    <t>1:38:53</t>
  </si>
  <si>
    <t>NY United Half</t>
  </si>
  <si>
    <t>3/19/23</t>
  </si>
  <si>
    <t>10 Mile</t>
  </si>
  <si>
    <t>15k</t>
  </si>
  <si>
    <t>10k</t>
  </si>
  <si>
    <t>8k</t>
  </si>
  <si>
    <t>5k</t>
  </si>
  <si>
    <t>2 mile</t>
  </si>
  <si>
    <t>1 Mile</t>
  </si>
  <si>
    <t>COACHES NOTES</t>
  </si>
  <si>
    <t>RESOURCES</t>
  </si>
  <si>
    <t>PERSONAL SPECIFICS</t>
  </si>
  <si>
    <t>Google Sheets Android App</t>
  </si>
  <si>
    <t>Watch</t>
  </si>
  <si>
    <t>HR MONITOR</t>
  </si>
  <si>
    <t>Google Sheets IOS App</t>
  </si>
  <si>
    <t>Treadmill/ Bike Access</t>
  </si>
  <si>
    <t>Easy Run Shoes</t>
  </si>
  <si>
    <t>HOW TO USE YOUR PLAN</t>
  </si>
  <si>
    <t>Steady/ Long Run Shoes</t>
  </si>
  <si>
    <t>Hard Workout Shoes</t>
  </si>
  <si>
    <t>SHOES/ GEAR INFO</t>
  </si>
  <si>
    <t>Race Day Shoes</t>
  </si>
  <si>
    <t>Strength Shoes</t>
  </si>
  <si>
    <t>FUELING (STRATEGY)
HOW TO/ TIPS</t>
  </si>
  <si>
    <t>Roller</t>
  </si>
  <si>
    <t>Gels</t>
  </si>
  <si>
    <t>EXECUTING WORKOUTS</t>
  </si>
  <si>
    <t>Electrolytes</t>
  </si>
  <si>
    <t>Pre-Run Prep</t>
  </si>
  <si>
    <t>STRENGTH TRAINING TIPS</t>
  </si>
  <si>
    <t>Protein</t>
  </si>
  <si>
    <t>Vitamins/ Supplements</t>
  </si>
  <si>
    <t>MARATHON/ HALF/ 5K PREP &amp; STRATEGY</t>
  </si>
  <si>
    <t>Current Long Run/ Race Fueling Strategy</t>
  </si>
  <si>
    <t>Marathon Fuel Tracker 1</t>
  </si>
  <si>
    <t>Date ➡️</t>
  </si>
  <si>
    <t xml:space="preserve">Workout/ Race ➡️ </t>
  </si>
  <si>
    <t>Half Fuel Tracker 1</t>
  </si>
  <si>
    <t>Other Notes ➡️</t>
  </si>
  <si>
    <t>Time</t>
  </si>
  <si>
    <t>Fuel</t>
  </si>
  <si>
    <t>Caffeine</t>
  </si>
  <si>
    <t>Sodium (mg)</t>
  </si>
  <si>
    <t>Carbs (g)</t>
  </si>
  <si>
    <t>Cumulative Carbs (g)</t>
  </si>
  <si>
    <t>Carbs/ hr</t>
  </si>
  <si>
    <t>How it went</t>
  </si>
  <si>
    <t>Marathon Fuel Tracker 2</t>
  </si>
  <si>
    <t>Half Fuel Tracker 2</t>
  </si>
  <si>
    <t>Marathon Fuel Tracker 3</t>
  </si>
  <si>
    <t>Half Fuel Tracker 3</t>
  </si>
  <si>
    <t>Marathon Fuel Tracker 4</t>
  </si>
  <si>
    <t>Half Fuel Tracker 4</t>
  </si>
  <si>
    <t>Marathon Fuel Tracker 5</t>
  </si>
  <si>
    <t>Half Fuel Tracker 5</t>
  </si>
  <si>
    <t>Marathon Fuel Tracker 6</t>
  </si>
  <si>
    <t>Half Fuel Tracker 6</t>
  </si>
  <si>
    <t>Marathon Fuel Tracker 7</t>
  </si>
  <si>
    <t>Half Fuel Tracker 7</t>
  </si>
  <si>
    <t>Marathon Fuel Tracker 8</t>
  </si>
  <si>
    <t>Half Fuel Tracker 8</t>
  </si>
  <si>
    <t>Marathon Fuel Tracker 9</t>
  </si>
  <si>
    <t>Half Fuel Tracker 9</t>
  </si>
  <si>
    <t>Marathon Fuel Tracker 10</t>
  </si>
  <si>
    <t>Half Fuel Tracker 10</t>
  </si>
  <si>
    <t>Marathon Fuel Tracker 11</t>
  </si>
  <si>
    <t>Half Fuel Tracker 11</t>
  </si>
  <si>
    <t>Marathon Fuel Tracker 12</t>
  </si>
  <si>
    <t>Half Fuel Tracker 12</t>
  </si>
  <si>
    <t>Marathon Fuel Tracker 13</t>
  </si>
  <si>
    <t>Half Fuel Tracker 13</t>
  </si>
  <si>
    <t>Marathon Fuel Tracker 14</t>
  </si>
  <si>
    <t>Half Fuel Tracker 14</t>
  </si>
  <si>
    <t>Needs Work</t>
  </si>
  <si>
    <t>Strength Workout 1</t>
  </si>
  <si>
    <t>Warm-Up
VIDEO</t>
  </si>
  <si>
    <t>Date</t>
  </si>
  <si>
    <t>Workout 1 Data</t>
  </si>
  <si>
    <t>Workout 2 Data</t>
  </si>
  <si>
    <t>Workout 3 Data</t>
  </si>
  <si>
    <t>Workout 4 Data</t>
  </si>
  <si>
    <t>Workout 5 Data</t>
  </si>
  <si>
    <t>Workout 6 Data</t>
  </si>
  <si>
    <t>Workout 7 Data</t>
  </si>
  <si>
    <t>Workout 8 Data</t>
  </si>
  <si>
    <t>Workout 9 Data</t>
  </si>
  <si>
    <t>Workout 10 Data</t>
  </si>
  <si>
    <t>Workout 11 Data</t>
  </si>
  <si>
    <t>Workout 12 Data</t>
  </si>
  <si>
    <t>Workout 13 Data</t>
  </si>
  <si>
    <t>Workout 14 Data</t>
  </si>
  <si>
    <t>Workout 15 Data</t>
  </si>
  <si>
    <t>Workout 17 Data</t>
  </si>
  <si>
    <t>Workout 18 Data</t>
  </si>
  <si>
    <t>Workout 19 Data</t>
  </si>
  <si>
    <t>Workout 20 Data</t>
  </si>
  <si>
    <t>Workout 21 Data</t>
  </si>
  <si>
    <t>Workout 22 Data</t>
  </si>
  <si>
    <t>Weight</t>
  </si>
  <si>
    <t>Reps</t>
  </si>
  <si>
    <r>
      <rPr>
        <rFont val="Arial"/>
        <b/>
        <color theme="1"/>
        <sz val="14.0"/>
      </rPr>
      <t xml:space="preserve">Overhead Weighted Sit-Ups; Seated Twist </t>
    </r>
    <r>
      <rPr>
        <rFont val="Arial"/>
        <b/>
        <color rgb="FFFF0000"/>
        <sz val="14.0"/>
      </rPr>
      <t>(Superset)</t>
    </r>
  </si>
  <si>
    <t>Notes ⬇️</t>
  </si>
  <si>
    <t>Sets</t>
  </si>
  <si>
    <t>8 - 12</t>
  </si>
  <si>
    <t>15 - 20 lbs</t>
  </si>
  <si>
    <t>Effort Level ➡️</t>
  </si>
  <si>
    <t>Pull-up Bar Leg Raises</t>
  </si>
  <si>
    <t>6 - 10</t>
  </si>
  <si>
    <t>Bodyweight</t>
  </si>
  <si>
    <r>
      <rPr>
        <rFont val="Arial"/>
        <b/>
        <color theme="1"/>
        <sz val="14.0"/>
      </rPr>
      <t xml:space="preserve">Plank Pull-Throughs; Side Plank Leg Lift </t>
    </r>
    <r>
      <rPr>
        <rFont val="Arial"/>
        <b/>
        <color rgb="FFFF0000"/>
        <sz val="14.0"/>
      </rPr>
      <t>(Superset)</t>
    </r>
  </si>
  <si>
    <t>10 - 15 lbs</t>
  </si>
  <si>
    <t>Dead Bugs (Each Side)</t>
  </si>
  <si>
    <t>Bulgarian Split Squats</t>
  </si>
  <si>
    <t>20 - 30 lbs</t>
  </si>
  <si>
    <t>Weighted Calf Walks (Front/ Back/ Side-to-Side)</t>
  </si>
  <si>
    <t>20-30 sec</t>
  </si>
  <si>
    <t>10 - 20 lbs</t>
  </si>
  <si>
    <t>Weighted Split Stance Hip Opener</t>
  </si>
  <si>
    <t>Off-Side (Lopsided) Deadlifts</t>
  </si>
  <si>
    <t>Banded Hamstring Curls</t>
  </si>
  <si>
    <t>Soleus Raises</t>
  </si>
  <si>
    <t>25 - 40 lbs</t>
  </si>
  <si>
    <t>Elevated Depth Squat</t>
  </si>
  <si>
    <t>25 - 45 lbs</t>
  </si>
  <si>
    <t>Strength Workout 2</t>
  </si>
  <si>
    <t>Ab Roller</t>
  </si>
  <si>
    <t>Exercise Ball Pike-Ups</t>
  </si>
  <si>
    <t>Exercise Ball Forearm Rollouts</t>
  </si>
  <si>
    <r>
      <rPr>
        <rFont val="Arial"/>
        <b/>
        <color theme="1"/>
        <sz val="14.0"/>
      </rPr>
      <t xml:space="preserve">Regular Squats </t>
    </r>
    <r>
      <rPr>
        <rFont val="Arial"/>
        <b/>
        <color rgb="FFFF0000"/>
        <sz val="14.0"/>
      </rPr>
      <t>(start light and add 5-10 lbs each set)</t>
    </r>
  </si>
  <si>
    <t>90 - 140 lbs</t>
  </si>
  <si>
    <t>Tennis Ball Calf Raises</t>
  </si>
  <si>
    <t>Kettlebell Swings</t>
  </si>
  <si>
    <t>Double or Single Leg Hip Thrust (Your Choice)</t>
  </si>
  <si>
    <t>Copenhagen Plank</t>
  </si>
  <si>
    <t>Crab Walks/ Monster Walks (Each exercise each side)</t>
  </si>
  <si>
    <t>Tibialis Raises</t>
  </si>
  <si>
    <t>Strength Workout 3</t>
  </si>
  <si>
    <r>
      <rPr>
        <rFont val="Arial"/>
        <b/>
        <color theme="1"/>
        <sz val="14.0"/>
      </rPr>
      <t xml:space="preserve">Overhead Weighted Sit-Ups; Seated Twist </t>
    </r>
    <r>
      <rPr>
        <rFont val="Arial"/>
        <b/>
        <color rgb="FFFF0000"/>
        <sz val="14.0"/>
      </rPr>
      <t>(Superset)</t>
    </r>
  </si>
  <si>
    <t>Medicine Ball Leg Exchanges</t>
  </si>
  <si>
    <t>6 - 10 lbs</t>
  </si>
  <si>
    <t>Pedestal</t>
  </si>
  <si>
    <t>N/A</t>
  </si>
  <si>
    <r>
      <rPr>
        <rFont val="Arial"/>
        <b/>
        <color theme="1"/>
        <sz val="14.0"/>
      </rPr>
      <t xml:space="preserve">Depth Squats </t>
    </r>
    <r>
      <rPr>
        <rFont val="Arial"/>
        <b/>
        <color rgb="FFFF0000"/>
        <sz val="14.0"/>
      </rPr>
      <t>(start light and add 5-10 lbs each set)</t>
    </r>
  </si>
  <si>
    <t>45 - 65 lbs</t>
  </si>
  <si>
    <t>SLRDL with overhead press (Each Side)</t>
  </si>
  <si>
    <t>Suitcase Deadlift (Each Side)</t>
  </si>
  <si>
    <t>Bulgarian Elevated Deadlift (Each Side)</t>
  </si>
  <si>
    <r>
      <rPr>
        <rFont val="Arial"/>
        <b/>
        <color theme="1"/>
        <sz val="14.0"/>
      </rPr>
      <t xml:space="preserve">Pull-Ups (or 5-10s holds); Jump Ropes </t>
    </r>
    <r>
      <rPr>
        <rFont val="Arial"/>
        <b/>
        <color rgb="FFFF0000"/>
        <sz val="14.0"/>
      </rPr>
      <t>(Superset)</t>
    </r>
  </si>
  <si>
    <t>5-10; 40-80</t>
  </si>
  <si>
    <r>
      <rPr>
        <rFont val="Arial"/>
        <b/>
        <color theme="1"/>
        <sz val="14.0"/>
      </rPr>
      <t xml:space="preserve">Banded Hamstring Curls; </t>
    </r>
    <r>
      <rPr>
        <rFont val="Arial"/>
        <b/>
        <color rgb="FFFF0000"/>
        <sz val="14.0"/>
      </rPr>
      <t>Moderate Resistance</t>
    </r>
  </si>
  <si>
    <t>Strength Workout 4</t>
  </si>
  <si>
    <r>
      <rPr>
        <rFont val="Arial"/>
        <b/>
        <color theme="1"/>
        <sz val="14.0"/>
      </rPr>
      <t xml:space="preserve">Plank Pull-Throughs; Side Plank Leg Lift </t>
    </r>
    <r>
      <rPr>
        <rFont val="Arial"/>
        <b/>
        <color rgb="FFFF0000"/>
        <sz val="14.0"/>
      </rPr>
      <t>(Superset)</t>
    </r>
  </si>
  <si>
    <t>10 - 15</t>
  </si>
  <si>
    <t>Exercise Ball Rockers (Each Side)</t>
  </si>
  <si>
    <t>Exercise Ball Ab Rotations (Each Direction)</t>
  </si>
  <si>
    <t>Bulgarian Kickstand Deadlift (Each Side)</t>
  </si>
  <si>
    <t>20 - 40 lbs</t>
  </si>
  <si>
    <r>
      <rPr>
        <rFont val="Arial"/>
        <b/>
        <color theme="1"/>
        <sz val="14.0"/>
      </rPr>
      <t xml:space="preserve">Wall Clam Shell Hip Opener </t>
    </r>
    <r>
      <rPr>
        <rFont val="Arial"/>
        <b/>
        <color rgb="FFFF0000"/>
        <sz val="14.0"/>
      </rPr>
      <t>(5-10s holds)</t>
    </r>
  </si>
  <si>
    <t>Seated Back Bend</t>
  </si>
  <si>
    <t>10 - 25 lbs</t>
  </si>
  <si>
    <r>
      <rPr>
        <rFont val="Arial"/>
        <b/>
        <color theme="1"/>
        <sz val="14.0"/>
      </rPr>
      <t xml:space="preserve">Short Explosive Squats </t>
    </r>
    <r>
      <rPr>
        <rFont val="Arial"/>
        <b/>
        <color rgb="FFFF0000"/>
        <sz val="14.0"/>
      </rPr>
      <t>(start light and add 5-10 lbs each set)</t>
    </r>
  </si>
  <si>
    <t>80 - 100 lbs</t>
  </si>
  <si>
    <t>Mini Hops to Box Jump</t>
  </si>
  <si>
    <r>
      <rPr>
        <rFont val="Arial"/>
        <b/>
        <color theme="1"/>
        <sz val="14.0"/>
      </rPr>
      <t xml:space="preserve">Crab Walks/ Monster Walks </t>
    </r>
    <r>
      <rPr>
        <rFont val="Arial"/>
        <b/>
        <color rgb="FFFF0000"/>
        <sz val="14.0"/>
      </rPr>
      <t>(Each exercise each side)</t>
    </r>
  </si>
  <si>
    <t>Suitcase Carries</t>
  </si>
  <si>
    <t>15-30 sec</t>
  </si>
  <si>
    <t>20 - 35 lbs</t>
  </si>
  <si>
    <t>Strength Workout 5</t>
  </si>
  <si>
    <r>
      <rPr>
        <rFont val="Arial"/>
        <b/>
        <color theme="1"/>
        <sz val="14.0"/>
      </rPr>
      <t xml:space="preserve">Plank Pull-Throughs; Side Plank Leg Lift </t>
    </r>
    <r>
      <rPr>
        <rFont val="Arial"/>
        <b/>
        <color rgb="FFFF0000"/>
        <sz val="14.0"/>
      </rPr>
      <t>(Superset)</t>
    </r>
  </si>
  <si>
    <t>L-Sit Leg Lifts</t>
  </si>
  <si>
    <t>Elevated Hip Dip</t>
  </si>
  <si>
    <r>
      <rPr>
        <rFont val="Arial"/>
        <b/>
        <color theme="1"/>
        <sz val="14.0"/>
      </rPr>
      <t xml:space="preserve">Overhead Weighted Sit-Ups; Seated Twist </t>
    </r>
    <r>
      <rPr>
        <rFont val="Arial"/>
        <b/>
        <color rgb="FFFF0000"/>
        <sz val="14.0"/>
      </rPr>
      <t>(Superset)</t>
    </r>
  </si>
  <si>
    <r>
      <rPr>
        <rFont val="Arial"/>
        <b/>
        <color theme="1"/>
        <sz val="14.0"/>
      </rPr>
      <t xml:space="preserve">Deadlift </t>
    </r>
    <r>
      <rPr>
        <rFont val="Arial"/>
        <b/>
        <color rgb="FFFF0000"/>
        <sz val="14.0"/>
      </rPr>
      <t>(start light and add 5-10 lbs each set)</t>
    </r>
  </si>
  <si>
    <t>80 - 120 lbs</t>
  </si>
  <si>
    <t>Lateral Box Jumps</t>
  </si>
  <si>
    <r>
      <rPr>
        <rFont val="Arial"/>
        <b/>
        <color theme="1"/>
        <sz val="14.0"/>
      </rPr>
      <t xml:space="preserve">Pull-Ups; Jump Ropes </t>
    </r>
    <r>
      <rPr>
        <rFont val="Arial"/>
        <b/>
        <color rgb="FFFF0000"/>
        <sz val="14.0"/>
      </rPr>
      <t>(Superset)</t>
    </r>
  </si>
  <si>
    <r>
      <rPr>
        <rFont val="Arial"/>
        <b/>
        <color theme="1"/>
        <sz val="20.0"/>
      </rPr>
      <t xml:space="preserve">Active Recovery Work </t>
    </r>
    <r>
      <rPr>
        <rFont val="Arial"/>
        <b/>
        <color rgb="FFCC0000"/>
        <sz val="17.0"/>
      </rPr>
      <t>(Pick and Choose 4-8 Exercises)</t>
    </r>
  </si>
  <si>
    <t>Rolling Out</t>
  </si>
  <si>
    <t>15-30 minutes</t>
  </si>
  <si>
    <t>Short Yoga</t>
  </si>
  <si>
    <t>7 minutes</t>
  </si>
  <si>
    <t>Medium Yoga</t>
  </si>
  <si>
    <t>20 minutes</t>
  </si>
  <si>
    <t>Long Yoga</t>
  </si>
  <si>
    <t>30 minutes</t>
  </si>
  <si>
    <t>Roller Mobility</t>
  </si>
  <si>
    <t>LINK 1</t>
  </si>
  <si>
    <t>1 set 10-20 reps each</t>
  </si>
  <si>
    <t>LINK 2</t>
  </si>
  <si>
    <t>LINK 3</t>
  </si>
  <si>
    <t>Fire Hydrants/ Hip Circles</t>
  </si>
  <si>
    <t>Full Stretch Series</t>
  </si>
  <si>
    <t>Interal/ External Rotation 90-90s</t>
  </si>
  <si>
    <t>1-3 sets 10-15 reps each</t>
  </si>
  <si>
    <t>Clamshells</t>
  </si>
  <si>
    <t>Touchdowns</t>
  </si>
  <si>
    <t>Airplane Hip Opener</t>
  </si>
  <si>
    <t>Box Jump Leg Switches</t>
  </si>
  <si>
    <t>8-15 minutes</t>
  </si>
  <si>
    <t>Sissy Squats</t>
  </si>
  <si>
    <t>Pistol Squat Progression</t>
  </si>
  <si>
    <t>Single Leg Weight Rotations</t>
  </si>
  <si>
    <t>1-3 sets 10-20 reps each direction/side</t>
  </si>
  <si>
    <t>Standing Clam Shells</t>
  </si>
  <si>
    <t>STRAVA</t>
  </si>
  <si>
    <t>J     A     N     U     A     R     Y</t>
  </si>
  <si>
    <t>MONTH GOAL➡️</t>
  </si>
  <si>
    <t>This month we will practice heavier speed work for 5k/10k and hills specifcially for Boston! Stay on top of the little things and let me now if anything hurts or is too hard ASAP!! This will build our base for the next few months!</t>
  </si>
  <si>
    <t>Warm-Up 
Distance➡️</t>
  </si>
  <si>
    <t>1.5 mile</t>
  </si>
  <si>
    <t>Warm-Up &amp;
Cool Down
Routine</t>
  </si>
  <si>
    <t>Rolling Routine</t>
  </si>
  <si>
    <t>Cool Down 
Distance➡️</t>
  </si>
  <si>
    <t>Stretching Routine</t>
  </si>
  <si>
    <t>Monday</t>
  </si>
  <si>
    <t>Tuesday</t>
  </si>
  <si>
    <t>Wednesday</t>
  </si>
  <si>
    <t>Thursday</t>
  </si>
  <si>
    <t>Friday</t>
  </si>
  <si>
    <t>Saturday</t>
  </si>
  <si>
    <t>Sunday</t>
  </si>
  <si>
    <t>Planned Mileage</t>
  </si>
  <si>
    <t>Actual Mileage</t>
  </si>
  <si>
    <t>EASY RUN</t>
  </si>
  <si>
    <t>HARD WORKOUT
&amp; STRENGTH</t>
  </si>
  <si>
    <t>REST</t>
  </si>
  <si>
    <t>LONG RUN</t>
  </si>
  <si>
    <t>REST OR EASY RUN</t>
  </si>
  <si>
    <t>BUILD WEEK</t>
  </si>
  <si>
    <t>SPLITS</t>
  </si>
  <si>
    <t>Easy Run
Start around 10:00 and work down to 9:00 IF IT FEELS EASY
4-6 miles</t>
  </si>
  <si>
    <t>6 miles</t>
  </si>
  <si>
    <t>10x800m w/ 90s walk rest btwn
1st 4: 3:40-3:30
2nd 4: 3:30-3:20
3rd 2: 3:20-3:10</t>
  </si>
  <si>
    <t>HILLS
3 miles of 60-90s UP @ 90% w/ walk/jog back down
TREADMILL (3-4% incline): 60-90s UP @ 6:50-6:30 pace w/ 90s standing rest btwn</t>
  </si>
  <si>
    <t>Day Off</t>
  </si>
  <si>
    <t>Easy Long Run
IF YOU FEEL GOOD: Close last 2-3 miles sub 8:00</t>
  </si>
  <si>
    <t>AVG HR</t>
  </si>
  <si>
    <t>AVG PACE</t>
  </si>
  <si>
    <t>Focus More on Strength</t>
  </si>
  <si>
    <t>TODAY'S NOTES</t>
  </si>
  <si>
    <t>WEEK THOUGHTS</t>
  </si>
  <si>
    <t>Roll/ Stretch</t>
  </si>
  <si>
    <t>Recovery Score</t>
  </si>
  <si>
    <t>Refuel/ Rehydrate</t>
  </si>
  <si>
    <t>Strength Work</t>
  </si>
  <si>
    <t>Goal: 2-3</t>
  </si>
  <si>
    <t>Effort Level 1-10</t>
  </si>
  <si>
    <t>Avg. Goal: 3-6</t>
  </si>
  <si>
    <t>5 miles of 2 min ON and 2 min EASY
ON Pace: 6:40-6:20</t>
  </si>
  <si>
    <t>8x400m @ 1:30-1:25 w/ 2 min walk rest btwn
FOCUS ON SPEED AND PLENTY OF REST</t>
  </si>
  <si>
    <t>REST WEEK</t>
  </si>
  <si>
    <t>Easy Run
Start around 10:00 and work down to 9:00 IF IT FEELS EASY</t>
  </si>
  <si>
    <t>5x1 mile @ 7:10, 7:00, 6:50, 6:40, 6:30 w/ 2-3 min walk/jog btwn</t>
  </si>
  <si>
    <t>SUPER EASY LONG RUN</t>
  </si>
  <si>
    <t>Don't Push/ Strict Paces</t>
  </si>
  <si>
    <t>PUSH WEEK</t>
  </si>
  <si>
    <t>6 miles of 3 min ON and 2 min EASY
ON Pace: 6:40-6:20
COMPARE TO 2 WEEKS AGO</t>
  </si>
  <si>
    <t>10-12x400m @ 1:30-1:25 w/ 2 min walk rest btwn
COMPARE TO 2 WEEKS AGO</t>
  </si>
  <si>
    <t>Stay on Top of the Little Things / Be Ready to Push</t>
  </si>
  <si>
    <t>F     E     B     R     U     A     R     Y</t>
  </si>
  <si>
    <t>This month we will work on hills a bit and continue to build speed! Stay on top of strength and recovery so we can have a big month before Tokyo!</t>
  </si>
  <si>
    <t>6x1 mile @ 7:10, 7:00, 6:50, 6:50-6:40, 6:40, 6:30 w/ 2-3 min walk/jog btwn
COMPARE TO LAST MONTH</t>
  </si>
  <si>
    <t>Easy Long Run
15-17 MILES
IF YOU FEEL GOOD: Close last 2-5 miles sub 8:00</t>
  </si>
  <si>
    <t>3x2 miles w/ 800m jog rest btwn
Reps:
7:30-7:20
7:20-7:10
7:10-7:00</t>
  </si>
  <si>
    <t>Easy Long Run
16-18 MILES
IF YOU FEEL GOOD: Close last 2-5 miles sub 8:00</t>
  </si>
  <si>
    <t>5 miles @ 7:40-7:30 CONTROLLED; 1 mile EASY; 1 mile @ sub 7:10 PUSHING</t>
  </si>
  <si>
    <t>Focus HEAVILY on Rolling/ Stretching/ Recovery</t>
  </si>
  <si>
    <t>LONG RUN WORKOUT
3 miles easy; 10x1 mile @ 7:25-7:15 w/ 2:30 jog rest btwn; 1-2 miles easy
PRACTICE FUELING</t>
  </si>
  <si>
    <t>5 miles of 2 min ON and 2 min EASY
ON Pace: 7:30-6:45
LIGHT WORKOUT WORK DOWN GENTLY
OR EASY RUN 3-5 MILES</t>
  </si>
  <si>
    <t>Prep/Fuel Like Race Week</t>
  </si>
  <si>
    <t>M     A     R     C     H</t>
  </si>
  <si>
    <t>Let's keep building fitness! I'll avoid harder workouts in Japan so you can enjoy the vacation! If we can get in hard workouts great! If not then don't stress it!</t>
  </si>
  <si>
    <t>10x800m @ 3:20-3:10 w/ 1:30-2:00 walk/jog rest btwn</t>
  </si>
  <si>
    <t>STEADY STATE LONG RUN
4 miles easy; 10 miles @ 8:20-7:50; 4 miles easy
PRACTICE FUELING</t>
  </si>
  <si>
    <t>LONG RUN WORKOUT
3 miles easy; 4, 3, 2, 1 mile w/ 1 mile FLOAT btwn; 3 miles easy
4 mile: 7:40-7:30
3 mile: 7:30-7:20
2 mile: 7:20-7:10
1 mile: 7:10-7:00
FLOAT:  8:50-8:20
PRACTICE FUELING
CAN MOVE TO WEDNESDAY</t>
  </si>
  <si>
    <t>5 miles of 3 min ON and 2 min FLOAT
ON Pace: 7:15-6:45
FLOAT: 8:15-7:45
OPTIONAL</t>
  </si>
  <si>
    <t>TRAVEL/ LIMITED WEEK</t>
  </si>
  <si>
    <t>3-5 Miles Easy Run
OR Day Off</t>
  </si>
  <si>
    <t>5x1 mile @ 7:00-6:30 w/ 2 min walk/jog rest</t>
  </si>
  <si>
    <t>12x200m @ 50-45s w/ 200m jog rest btwn
OR
3 miles of 1 min FAST and 90s JOG</t>
  </si>
  <si>
    <t>Easy Long Run
8-14 MILES</t>
  </si>
  <si>
    <t>10x800m @ 3:30-3:10 w/ 90s walk/jog rest btwn</t>
  </si>
  <si>
    <t>Easy Long Run
16-20 miles!
PRACTICE FUELING</t>
  </si>
  <si>
    <t>A     P     R     I     L</t>
  </si>
  <si>
    <t>This month we will finalize feeling solid at race pace! Recover well post travel and focus on the little things as we execute these last few weeks!</t>
  </si>
  <si>
    <t>PEAK WEEK</t>
  </si>
  <si>
    <t>Easy Run
10:00 down to 9:00 IF IT FEELS EASY
4-6 miles</t>
  </si>
  <si>
    <t>7x1 mile w/ 2 min jog rest btwn
1st 3: 7:30-7:20
2nd 2: 7:20-7:10
Last 2: 7:10-7:00</t>
  </si>
  <si>
    <t>Easy Run</t>
  </si>
  <si>
    <t>LAST LONG RUN WORKOUT
3 miles easy; 4x4 mile w/ 800m jog rest btwn; 1 mile easy
1st 4: 7:50-7:35
2nd 4: 7:45-7:30
3rd 4: 7:35-7:25
 3rd 4: 7:20-7:10
PRACTICE FUELING</t>
  </si>
  <si>
    <t>Easy Run
10:00 down to 9:00 IF IT FEELS EASY</t>
  </si>
  <si>
    <t>8 miles of 3 min ON and 2 min FLOAT
ON Pace: 7:20-7:00
FLOAT: 8:20-8:00</t>
  </si>
  <si>
    <t>RACE WEEK</t>
  </si>
  <si>
    <t>8x800m @ 3:40-3:35 w/ 90s walk rest btwn
LIGHT PACE WORK</t>
  </si>
  <si>
    <t>Shakeout Jog</t>
  </si>
  <si>
    <t>Schedule Race Prep Call</t>
  </si>
  <si>
    <t>BOSTON MARATHON</t>
  </si>
  <si>
    <t>REST/ ACTIVE RECOVERY</t>
  </si>
  <si>
    <t>RETURN WEEK</t>
  </si>
  <si>
    <t>12x400m @ 1:45-1:35 w/ 90s walk rest btwn</t>
  </si>
  <si>
    <t>Easy Long Run
8-12 Miles</t>
  </si>
  <si>
    <t>Focus on Recovery Don't Push</t>
  </si>
  <si>
    <t>M     A     Y</t>
  </si>
  <si>
    <t>Let's rebuild gently and focus on some speed work until we start marathon training for Chicago! Let's take this time to get some more strength in as well!</t>
  </si>
  <si>
    <t>5 miles of 3 min ON and 2 min EASY
ON Pace: 8:15-7:15
EASE BACK INTO THINGS</t>
  </si>
  <si>
    <t>Easy Long Run
9-13 Miles</t>
  </si>
  <si>
    <t>10x800m w/ 2 min walk rest btwn
1st 4: 3:45-3:40
2nd 4: 3:40-3:30
Last 2: Sub 3:30</t>
  </si>
  <si>
    <t>8x200m 45-35s w/ 200m walk/jog btwn
HAVE SOME FUN AND PUSH A BIT TOWARDS THE END</t>
  </si>
  <si>
    <t>Easy Long Run
10-14 Miles</t>
  </si>
  <si>
    <t>6x1 mile w/ 2 min jog rest btwn
1st 3: 7:20-7:10
2nd 3: 7:10-6:50</t>
  </si>
  <si>
    <t>4 miles @ 7:30-7:10; 1 mile easy; 1 mile Sub 7 PUSHING</t>
  </si>
  <si>
    <t>8x400m w/ 2:30 walk rest btwn
3 @ 1:45-1:40
3 @ 1:40-1:35
2 @ 1:35 or FASTER
OPEN UP AND PROGRESS</t>
  </si>
  <si>
    <t>Easy Long Run</t>
  </si>
  <si>
    <t>J     U     N     E</t>
  </si>
  <si>
    <t>J     U     L     Y</t>
  </si>
  <si>
    <t>A     U     G     U     S     T</t>
  </si>
  <si>
    <t>S     E     P     T     E     M     B     E     R</t>
  </si>
  <si>
    <t>O     C     T     O     B     E     R</t>
  </si>
  <si>
    <t>N     O     V     E     M     B     E     R</t>
  </si>
  <si>
    <t>D     E     C     E     M     B     E     R</t>
  </si>
  <si>
    <t>Total Mileage</t>
  </si>
  <si>
    <t>Thoughts on Workouts/ Week</t>
  </si>
  <si>
    <t>Racing</t>
  </si>
  <si>
    <t>May 1st</t>
  </si>
  <si>
    <t>May 2nd</t>
  </si>
  <si>
    <t>May 3rd</t>
  </si>
  <si>
    <t>May 4th</t>
  </si>
  <si>
    <t>May 5th</t>
  </si>
  <si>
    <t>May 6th</t>
  </si>
  <si>
    <t>May 7th</t>
  </si>
  <si>
    <t>Meet Name</t>
  </si>
  <si>
    <t>May 8th</t>
  </si>
  <si>
    <t>May 9th</t>
  </si>
  <si>
    <t>May 10th</t>
  </si>
  <si>
    <t>May 11th</t>
  </si>
  <si>
    <t>May 12th</t>
  </si>
  <si>
    <t>May 13th</t>
  </si>
  <si>
    <t>May 14th</t>
  </si>
  <si>
    <t>May 15th</t>
  </si>
  <si>
    <t>May 16th</t>
  </si>
  <si>
    <t>May 17th</t>
  </si>
  <si>
    <t>May 18th</t>
  </si>
  <si>
    <t>May 19th</t>
  </si>
  <si>
    <t>May 20th</t>
  </si>
  <si>
    <t>May 21st</t>
  </si>
  <si>
    <t>May 22nd</t>
  </si>
  <si>
    <t>May 23rd</t>
  </si>
  <si>
    <t>May 24th</t>
  </si>
  <si>
    <t>May 25th</t>
  </si>
  <si>
    <t>May 26th</t>
  </si>
  <si>
    <t>May 27th</t>
  </si>
  <si>
    <t>May 28th</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</si>
</sst>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d/yyyy"/>
    <numFmt numFmtId="165" formatCode="m/d/yy"/>
    <numFmt numFmtId="166" formatCode="m/d/yyyy"/>
    <numFmt numFmtId="167" formatCode="m-d"/>
    <numFmt numFmtId="168" formatCode="mmmm&quot; &quot;d"/>
    <numFmt numFmtId="169" formatCode="0/100"/>
    <numFmt numFmtId="170" formatCode="mmmm d"/>
  </numFmts>
  <fonts count="61">
    <font>
      <sz val="10.0"/>
      <color rgb="FF000000"/>
      <name val="Arial"/>
      <scheme val="minor"/>
    </font>
    <font>
      <b/>
      <sz val="12.0"/>
      <color theme="1"/>
      <name val="Arial"/>
    </font>
    <font>
      <b/>
      <sz val="18.0"/>
      <color theme="1"/>
      <name val="Arial"/>
    </font>
    <font/>
    <font>
      <b/>
      <sz val="14.0"/>
      <color theme="1"/>
      <name val="Arial"/>
    </font>
    <font>
      <b/>
      <sz val="15.0"/>
      <color theme="1"/>
      <name val="Arial"/>
    </font>
    <font>
      <b/>
      <sz val="13.0"/>
      <color theme="1"/>
      <name val="Arial"/>
    </font>
    <font>
      <b/>
      <sz val="15.0"/>
      <color theme="1"/>
      <name val="Arial"/>
      <scheme val="minor"/>
    </font>
    <font>
      <b/>
      <u/>
      <sz val="14.0"/>
      <color rgb="FF0000FF"/>
      <name val="Arial"/>
    </font>
    <font>
      <b/>
      <sz val="13.0"/>
      <color theme="1"/>
      <name val="Arial"/>
      <scheme val="minor"/>
    </font>
    <font>
      <b/>
      <sz val="12.0"/>
      <color theme="1"/>
      <name val="Arial"/>
      <scheme val="minor"/>
    </font>
    <font>
      <b/>
      <sz val="20.0"/>
      <color rgb="FFFFFFFF"/>
      <name val="Arial"/>
      <scheme val="minor"/>
    </font>
    <font>
      <b/>
      <sz val="18.0"/>
      <color theme="1"/>
      <name val="Arial"/>
      <scheme val="minor"/>
    </font>
    <font>
      <b/>
      <sz val="20.0"/>
      <color theme="1"/>
      <name val="Arial"/>
    </font>
    <font>
      <b/>
      <sz val="16.0"/>
      <color theme="1"/>
      <name val="Arial"/>
      <scheme val="minor"/>
    </font>
    <font>
      <b/>
      <u/>
      <sz val="14.0"/>
      <color rgb="FF0000FF"/>
    </font>
    <font>
      <b/>
      <sz val="14.0"/>
      <color theme="1"/>
      <name val="Arial"/>
      <scheme val="minor"/>
    </font>
    <font>
      <b/>
      <sz val="18.0"/>
      <color rgb="FFFFFFFF"/>
      <name val="Arial"/>
      <scheme val="minor"/>
    </font>
    <font>
      <b/>
      <sz val="18.0"/>
      <color rgb="FF000000"/>
      <name val="Arial"/>
      <scheme val="minor"/>
    </font>
    <font>
      <sz val="14.0"/>
      <color theme="1"/>
      <name val="Arial"/>
      <scheme val="minor"/>
    </font>
    <font>
      <color theme="1"/>
      <name val="Arial"/>
      <scheme val="minor"/>
    </font>
    <font>
      <b/>
      <sz val="14.0"/>
      <color rgb="FFFFFFFF"/>
      <name val="Arial"/>
      <scheme val="minor"/>
    </font>
    <font>
      <b/>
      <sz val="14.0"/>
      <color rgb="FF000000"/>
      <name val="Arial"/>
      <scheme val="minor"/>
    </font>
    <font>
      <b/>
      <sz val="15.0"/>
      <color rgb="FF000000"/>
      <name val="Arial"/>
      <scheme val="minor"/>
    </font>
    <font>
      <b/>
      <sz val="12.0"/>
      <color rgb="FF000000"/>
      <name val="Arial"/>
      <scheme val="minor"/>
    </font>
    <font>
      <b/>
      <color rgb="FF000000"/>
      <name val="Arial"/>
      <scheme val="minor"/>
    </font>
    <font>
      <b/>
      <sz val="15.0"/>
      <color rgb="FF4A86E8"/>
      <name val="Arial"/>
      <scheme val="minor"/>
    </font>
    <font>
      <color rgb="FF000000"/>
      <name val="Arial"/>
      <scheme val="minor"/>
    </font>
    <font>
      <b/>
      <color theme="1"/>
      <name val="Arial"/>
      <scheme val="minor"/>
    </font>
    <font>
      <b/>
      <sz val="23.0"/>
      <color theme="1"/>
      <name val="Arial"/>
      <scheme val="minor"/>
    </font>
    <font>
      <b/>
      <sz val="23.0"/>
      <color theme="1"/>
      <name val="Arial"/>
    </font>
    <font>
      <b/>
      <sz val="17.0"/>
      <color theme="1"/>
      <name val="Arial"/>
      <scheme val="minor"/>
    </font>
    <font>
      <b/>
      <u/>
      <sz val="15.0"/>
      <color rgb="FF1155CC"/>
      <name val="Arial"/>
    </font>
    <font>
      <b/>
      <sz val="16.0"/>
      <color theme="1"/>
      <name val="Arial"/>
    </font>
    <font>
      <color theme="1"/>
      <name val="Arial"/>
    </font>
    <font>
      <b/>
      <u/>
      <sz val="15.0"/>
      <color rgb="FF1155CC"/>
      <name val="Arial"/>
    </font>
    <font>
      <b/>
      <u/>
      <sz val="12.0"/>
      <color rgb="FF1155CC"/>
      <name val="Arial"/>
    </font>
    <font>
      <b/>
      <u/>
      <sz val="12.0"/>
      <color rgb="FF1155CC"/>
      <name val="Arial"/>
    </font>
    <font>
      <b/>
      <u/>
      <sz val="20.0"/>
      <color rgb="FF0000FF"/>
    </font>
    <font>
      <b/>
      <sz val="28.0"/>
      <color theme="1"/>
      <name val="Arial"/>
      <scheme val="minor"/>
    </font>
    <font>
      <b/>
      <sz val="28.0"/>
      <color rgb="FFFFFFFF"/>
      <name val="Arial"/>
      <scheme val="minor"/>
    </font>
    <font>
      <b/>
      <sz val="20.0"/>
      <color rgb="FF000000"/>
      <name val="Arial"/>
      <scheme val="minor"/>
    </font>
    <font>
      <sz val="11.0"/>
      <color theme="1"/>
      <name val="Arial"/>
    </font>
    <font>
      <b/>
      <u/>
      <sz val="19.0"/>
      <color rgb="FF0000FF"/>
      <name val="Arial"/>
    </font>
    <font>
      <b/>
      <u/>
      <sz val="19.0"/>
      <color rgb="FF0000FF"/>
    </font>
    <font>
      <b/>
      <u/>
      <sz val="19.0"/>
      <color rgb="FF0000FF"/>
    </font>
    <font>
      <b/>
      <sz val="18.0"/>
      <color rgb="FFFFFFFF"/>
      <name val="Arial"/>
    </font>
    <font>
      <b/>
      <sz val="16.0"/>
      <color rgb="FFFFFFFF"/>
      <name val="Arial"/>
    </font>
    <font>
      <b/>
      <sz val="22.0"/>
      <color theme="1"/>
      <name val="Arial"/>
      <scheme val="minor"/>
    </font>
    <font>
      <b/>
      <sz val="12.0"/>
      <color rgb="FFFFFFFF"/>
      <name val="Arial"/>
      <scheme val="minor"/>
    </font>
    <font>
      <b/>
      <sz val="16.0"/>
      <color rgb="FF000000"/>
      <name val="Arial"/>
      <scheme val="minor"/>
    </font>
    <font>
      <b/>
      <sz val="12.0"/>
      <color rgb="FFFFFFFF"/>
      <name val="Arial"/>
    </font>
    <font>
      <b/>
      <sz val="13.0"/>
      <color theme="1"/>
      <name val="Google Sans Mono"/>
    </font>
    <font>
      <b/>
      <sz val="16.0"/>
      <color theme="1"/>
      <name val="Google Sans Mono"/>
    </font>
    <font>
      <b/>
      <u/>
      <sz val="20.0"/>
      <color rgb="FF0000FF"/>
    </font>
    <font>
      <b/>
      <u/>
      <sz val="20.0"/>
      <color rgb="FF0000FF"/>
    </font>
    <font>
      <b/>
      <sz val="16.0"/>
      <color rgb="FF000000"/>
      <name val="Arial"/>
    </font>
    <font>
      <b/>
      <sz val="28.0"/>
      <color theme="1"/>
      <name val="Arial"/>
    </font>
    <font>
      <b/>
      <color theme="0"/>
      <name val="Arial"/>
      <scheme val="minor"/>
    </font>
    <font>
      <color theme="0"/>
      <name val="Arial"/>
      <scheme val="minor"/>
    </font>
    <font>
      <b/>
      <sz val="10.0"/>
      <color theme="1"/>
      <name val="Arial"/>
      <scheme val="minor"/>
    </font>
  </fonts>
  <fills count="43">
    <fill>
      <patternFill patternType="none"/>
    </fill>
    <fill>
      <patternFill patternType="lightGray"/>
    </fill>
    <fill>
      <patternFill patternType="solid">
        <fgColor rgb="FFEA9999"/>
        <bgColor rgb="FFEA9999"/>
      </patternFill>
    </fill>
    <fill>
      <patternFill patternType="solid">
        <fgColor rgb="FFB7B7B7"/>
        <bgColor rgb="FFB7B7B7"/>
      </patternFill>
    </fill>
    <fill>
      <patternFill patternType="solid">
        <fgColor rgb="FF9FC5E8"/>
        <bgColor rgb="FF9FC5E8"/>
      </patternFill>
    </fill>
    <fill>
      <patternFill patternType="solid">
        <fgColor rgb="FFB6D7A8"/>
        <bgColor rgb="FFB6D7A8"/>
      </patternFill>
    </fill>
    <fill>
      <patternFill patternType="solid">
        <fgColor rgb="FF434343"/>
        <bgColor rgb="FF434343"/>
      </patternFill>
    </fill>
    <fill>
      <patternFill patternType="solid">
        <fgColor rgb="FFFF9900"/>
        <bgColor rgb="FFFF9900"/>
      </patternFill>
    </fill>
    <fill>
      <patternFill patternType="solid">
        <fgColor rgb="FFD9D9D9"/>
        <bgColor rgb="FFD9D9D9"/>
      </patternFill>
    </fill>
    <fill>
      <patternFill patternType="solid">
        <fgColor rgb="FFF9CB9C"/>
        <bgColor rgb="FFF9CB9C"/>
      </patternFill>
    </fill>
    <fill>
      <patternFill patternType="solid">
        <fgColor rgb="FFEFEFEF"/>
        <bgColor rgb="FFEFEFEF"/>
      </patternFill>
    </fill>
    <fill>
      <patternFill patternType="solid">
        <fgColor rgb="FF356854"/>
        <bgColor rgb="FF356854"/>
      </patternFill>
    </fill>
    <fill>
      <patternFill patternType="solid">
        <fgColor rgb="FFFFFFFF"/>
        <bgColor rgb="FFFFFFFF"/>
      </patternFill>
    </fill>
    <fill>
      <patternFill patternType="solid">
        <fgColor rgb="FFCCCCCC"/>
        <bgColor rgb="FFCCCCCC"/>
      </patternFill>
    </fill>
    <fill>
      <patternFill patternType="solid">
        <fgColor rgb="FF505CC0"/>
        <bgColor rgb="FF505CC0"/>
      </patternFill>
    </fill>
    <fill>
      <patternFill patternType="solid">
        <fgColor rgb="FFBE463E"/>
        <bgColor rgb="FFBE463E"/>
      </patternFill>
    </fill>
    <fill>
      <patternFill patternType="solid">
        <fgColor rgb="FF9D3543"/>
        <bgColor rgb="FF9D3543"/>
      </patternFill>
    </fill>
    <fill>
      <patternFill patternType="solid">
        <fgColor rgb="FF5B3D86"/>
        <bgColor rgb="FF5B3D86"/>
      </patternFill>
    </fill>
    <fill>
      <patternFill patternType="solid">
        <fgColor rgb="FF48558D"/>
        <bgColor rgb="FF48558D"/>
      </patternFill>
    </fill>
    <fill>
      <patternFill patternType="solid">
        <fgColor rgb="FF363E6B"/>
        <bgColor rgb="FF363E6B"/>
      </patternFill>
    </fill>
    <fill>
      <patternFill patternType="solid">
        <fgColor rgb="FF49564C"/>
        <bgColor rgb="FF49564C"/>
      </patternFill>
    </fill>
    <fill>
      <patternFill patternType="solid">
        <fgColor rgb="FF616E7A"/>
        <bgColor rgb="FF616E7A"/>
      </patternFill>
    </fill>
    <fill>
      <patternFill patternType="solid">
        <fgColor rgb="FFE06666"/>
        <bgColor rgb="FFE06666"/>
      </patternFill>
    </fill>
    <fill>
      <patternFill patternType="solid">
        <fgColor rgb="FF8E7CC3"/>
        <bgColor rgb="FF8E7CC3"/>
      </patternFill>
    </fill>
    <fill>
      <patternFill patternType="solid">
        <fgColor rgb="FF666666"/>
        <bgColor rgb="FF666666"/>
      </patternFill>
    </fill>
    <fill>
      <patternFill patternType="solid">
        <fgColor rgb="FF999999"/>
        <bgColor rgb="FF999999"/>
      </patternFill>
    </fill>
    <fill>
      <patternFill patternType="solid">
        <fgColor rgb="FFFFE599"/>
        <bgColor rgb="FFFFE599"/>
      </patternFill>
    </fill>
    <fill>
      <patternFill patternType="solid">
        <fgColor rgb="FFA4C2F4"/>
        <bgColor rgb="FFA4C2F4"/>
      </patternFill>
    </fill>
    <fill>
      <patternFill patternType="solid">
        <fgColor rgb="FFFF4F00"/>
        <bgColor rgb="FFFF4F00"/>
      </patternFill>
    </fill>
    <fill>
      <patternFill patternType="solid">
        <fgColor rgb="FF264653"/>
        <bgColor rgb="FF264653"/>
      </patternFill>
    </fill>
    <fill>
      <patternFill patternType="solid">
        <fgColor rgb="FFE9C46A"/>
        <bgColor rgb="FFE9C46A"/>
      </patternFill>
    </fill>
    <fill>
      <patternFill patternType="solid">
        <fgColor rgb="FFF3F3F3"/>
        <bgColor rgb="FFF3F3F3"/>
      </patternFill>
    </fill>
    <fill>
      <patternFill patternType="solid">
        <fgColor rgb="FFFFD966"/>
        <bgColor rgb="FFFFD966"/>
      </patternFill>
    </fill>
    <fill>
      <patternFill patternType="solid">
        <fgColor rgb="FF2A9D8F"/>
        <bgColor rgb="FF2A9D8F"/>
      </patternFill>
    </fill>
    <fill>
      <patternFill patternType="solid">
        <fgColor rgb="FFE76F51"/>
        <bgColor rgb="FFE76F51"/>
      </patternFill>
    </fill>
    <fill>
      <patternFill patternType="solid">
        <fgColor rgb="FFFFD166"/>
        <bgColor rgb="FFFFD166"/>
      </patternFill>
    </fill>
    <fill>
      <patternFill patternType="solid">
        <fgColor rgb="FF93C47D"/>
        <bgColor rgb="FF93C47D"/>
      </patternFill>
    </fill>
    <fill>
      <patternFill patternType="solid">
        <fgColor rgb="FF6FA8DC"/>
        <bgColor rgb="FF6FA8DC"/>
      </patternFill>
    </fill>
    <fill>
      <patternFill patternType="solid">
        <fgColor rgb="FFFFFF00"/>
        <bgColor rgb="FFFFFF00"/>
      </patternFill>
    </fill>
    <fill>
      <patternFill patternType="solid">
        <fgColor rgb="FF2A3132"/>
        <bgColor rgb="FF2A3132"/>
      </patternFill>
    </fill>
    <fill>
      <patternFill patternType="solid">
        <fgColor rgb="FF763626"/>
        <bgColor rgb="FF763626"/>
      </patternFill>
    </fill>
    <fill>
      <patternFill patternType="solid">
        <fgColor rgb="FF90AFC5"/>
        <bgColor rgb="FF90AFC5"/>
      </patternFill>
    </fill>
    <fill>
      <patternFill patternType="solid">
        <fgColor rgb="FFA8A7A7"/>
        <bgColor rgb="FFA8A7A7"/>
      </patternFill>
    </fill>
  </fills>
  <borders count="31">
    <border/>
    <border>
      <left style="medium">
        <color rgb="FF000000"/>
      </left>
      <right style="medium">
        <color rgb="FF000000"/>
      </right>
      <top style="medium">
        <color rgb="FF000000"/>
      </top>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left style="medium">
        <color rgb="FF000000"/>
      </left>
      <top style="medium">
        <color rgb="FF000000"/>
      </top>
    </border>
    <border>
      <right style="medium">
        <color rgb="FF000000"/>
      </right>
      <top style="medium">
        <color rgb="FF000000"/>
      </top>
    </border>
    <border>
      <top style="thick">
        <color rgb="FF000000"/>
      </top>
    </border>
    <border>
      <right style="thick">
        <color rgb="FF000000"/>
      </right>
      <top style="thick">
        <color rgb="FF000000"/>
      </top>
    </border>
    <border>
      <top style="medium">
        <color rgb="FF000000"/>
      </top>
    </border>
    <border>
      <left style="medium">
        <color rgb="FF000000"/>
      </left>
      <right style="medium">
        <color rgb="FF000000"/>
      </right>
    </border>
    <border>
      <left style="medium">
        <color rgb="FF000000"/>
      </left>
    </border>
    <border>
      <right style="medium">
        <color rgb="FF000000"/>
      </right>
    </border>
    <border>
      <right style="thick">
        <color rgb="FF000000"/>
      </right>
    </border>
    <border>
      <left style="medium">
        <color rgb="FF000000"/>
      </left>
      <bottom style="medium">
        <color rgb="FF000000"/>
      </bottom>
    </border>
    <border>
      <right style="medium">
        <color rgb="FF000000"/>
      </right>
      <bottom style="medium">
        <color rgb="FF000000"/>
      </bottom>
    </border>
    <border>
      <bottom style="medium">
        <color rgb="FF000000"/>
      </bottom>
    </border>
    <border>
      <bottom style="thick">
        <color rgb="FF000000"/>
      </bottom>
    </border>
    <border>
      <right style="thick">
        <color rgb="FF000000"/>
      </right>
      <bottom style="thick">
        <color rgb="FF000000"/>
      </bottom>
    </border>
    <border>
      <left style="thick">
        <color rgb="FF000000"/>
      </left>
      <top style="thick">
        <color rgb="FF000000"/>
      </top>
    </border>
    <border>
      <left style="thick">
        <color rgb="FF000000"/>
      </left>
      <right style="thick">
        <color rgb="FF000000"/>
      </right>
      <top style="thick">
        <color rgb="FF000000"/>
      </top>
    </border>
    <border>
      <left style="thick">
        <color rgb="FF000000"/>
      </left>
    </border>
    <border>
      <left style="thick">
        <color rgb="FF000000"/>
      </left>
      <right style="thick">
        <color rgb="FF000000"/>
      </right>
      <bottom style="thick">
        <color rgb="FF000000"/>
      </bottom>
    </border>
    <border>
      <left style="thick">
        <color rgb="FF000000"/>
      </left>
      <bottom style="thick">
        <color rgb="FF000000"/>
      </bottom>
    </border>
    <border>
      <left style="thick">
        <color rgb="FF000000"/>
      </left>
      <right style="thick">
        <color rgb="FF000000"/>
      </right>
    </border>
    <border>
      <left style="thick">
        <color rgb="FF000000"/>
      </left>
      <right style="thick">
        <color rgb="FF000000"/>
      </right>
      <top style="thick">
        <color rgb="FF000000"/>
      </top>
      <bottom style="thick">
        <color rgb="FF000000"/>
      </bottom>
    </border>
    <border>
      <top style="thick">
        <color rgb="FF000000"/>
      </top>
      <bottom style="thick">
        <color rgb="FF000000"/>
      </bottom>
    </border>
  </borders>
  <cellStyleXfs count="1">
    <xf borderId="0" fillId="0" fontId="0" numFmtId="0" applyAlignment="1" applyFont="1"/>
  </cellStyleXfs>
  <cellXfs count="256">
    <xf borderId="0" fillId="0" fontId="0" numFmtId="0" xfId="0" applyAlignment="1" applyFont="1">
      <alignment readingOrder="0" shrinkToFit="0" vertical="bottom" wrapText="0"/>
    </xf>
    <xf borderId="1" fillId="2" fontId="1" numFmtId="49" xfId="0" applyAlignment="1" applyBorder="1" applyFill="1" applyFont="1" applyNumberFormat="1">
      <alignment horizontal="center" readingOrder="0" shrinkToFit="0" vertical="center" wrapText="1"/>
    </xf>
    <xf borderId="1" fillId="2" fontId="2" numFmtId="49" xfId="0" applyAlignment="1" applyBorder="1" applyFont="1" applyNumberFormat="1">
      <alignment horizontal="center" readingOrder="0" shrinkToFit="0" vertical="center" wrapText="1"/>
    </xf>
    <xf borderId="2" fillId="0" fontId="3" numFmtId="0" xfId="0" applyBorder="1" applyFont="1"/>
    <xf borderId="3" fillId="2" fontId="4" numFmtId="49" xfId="0" applyAlignment="1" applyBorder="1" applyFont="1" applyNumberFormat="1">
      <alignment horizontal="center" readingOrder="0" shrinkToFit="0" vertical="center" wrapText="1"/>
    </xf>
    <xf borderId="4" fillId="2" fontId="4" numFmtId="49" xfId="0" applyAlignment="1" applyBorder="1" applyFont="1" applyNumberFormat="1">
      <alignment horizontal="center" readingOrder="0" shrinkToFit="0" vertical="center" wrapText="1"/>
    </xf>
    <xf borderId="3" fillId="2" fontId="5" numFmtId="0" xfId="0" applyAlignment="1" applyBorder="1" applyFont="1">
      <alignment horizontal="center" readingOrder="0" shrinkToFit="0" vertical="center" wrapText="1"/>
    </xf>
    <xf borderId="3" fillId="2" fontId="5" numFmtId="164" xfId="0" applyAlignment="1" applyBorder="1" applyFont="1" applyNumberFormat="1">
      <alignment horizontal="center" readingOrder="0" shrinkToFit="0" vertical="center" wrapText="1"/>
    </xf>
    <xf borderId="4" fillId="2" fontId="5" numFmtId="164" xfId="0" applyAlignment="1" applyBorder="1" applyFont="1" applyNumberFormat="1">
      <alignment horizontal="center" readingOrder="0" shrinkToFit="0" vertical="center" wrapText="1"/>
    </xf>
    <xf borderId="3" fillId="2" fontId="4" numFmtId="49" xfId="0" applyAlignment="1" applyBorder="1" applyFont="1" applyNumberFormat="1">
      <alignment horizontal="center" shrinkToFit="0" vertical="center" wrapText="1"/>
    </xf>
    <xf borderId="3" fillId="2" fontId="6" numFmtId="164" xfId="0" applyAlignment="1" applyBorder="1" applyFont="1" applyNumberFormat="1">
      <alignment horizontal="center" shrinkToFit="0" vertical="center" wrapText="1"/>
    </xf>
    <xf borderId="3" fillId="2" fontId="6" numFmtId="46" xfId="0" applyAlignment="1" applyBorder="1" applyFont="1" applyNumberFormat="1">
      <alignment horizontal="center" shrinkToFit="0" vertical="center" wrapText="1"/>
    </xf>
    <xf borderId="4" fillId="2" fontId="6" numFmtId="46" xfId="0" applyAlignment="1" applyBorder="1" applyFont="1" applyNumberFormat="1">
      <alignment horizontal="center" shrinkToFit="0" vertical="center" wrapText="1"/>
    </xf>
    <xf borderId="3" fillId="2" fontId="1" numFmtId="49" xfId="0" applyAlignment="1" applyBorder="1" applyFont="1" applyNumberFormat="1">
      <alignment horizontal="center" readingOrder="0" shrinkToFit="0" vertical="center" wrapText="1"/>
    </xf>
    <xf borderId="4" fillId="2" fontId="1" numFmtId="49" xfId="0" applyAlignment="1" applyBorder="1" applyFont="1" applyNumberFormat="1">
      <alignment horizontal="center" readingOrder="0" shrinkToFit="0" vertical="center" wrapText="1"/>
    </xf>
    <xf borderId="3" fillId="2" fontId="4" numFmtId="46" xfId="0" applyAlignment="1" applyBorder="1" applyFont="1" applyNumberFormat="1">
      <alignment horizontal="center" readingOrder="0" shrinkToFit="0" vertical="center" wrapText="1"/>
    </xf>
    <xf borderId="4" fillId="2" fontId="4" numFmtId="46" xfId="0" applyAlignment="1" applyBorder="1" applyFont="1" applyNumberFormat="1">
      <alignment horizontal="center" readingOrder="0" shrinkToFit="0" vertical="center" wrapText="1"/>
    </xf>
    <xf borderId="3" fillId="3" fontId="4" numFmtId="49" xfId="0" applyAlignment="1" applyBorder="1" applyFill="1" applyFont="1" applyNumberFormat="1">
      <alignment horizontal="center" readingOrder="0" shrinkToFit="0" vertical="center" wrapText="1"/>
    </xf>
    <xf borderId="3" fillId="3" fontId="7" numFmtId="46" xfId="0" applyAlignment="1" applyBorder="1" applyFont="1" applyNumberFormat="1">
      <alignment horizontal="center" readingOrder="0" shrinkToFit="0" vertical="center" wrapText="1"/>
    </xf>
    <xf borderId="4" fillId="3" fontId="7" numFmtId="46" xfId="0" applyAlignment="1" applyBorder="1" applyFont="1" applyNumberFormat="1">
      <alignment horizontal="center" readingOrder="0" shrinkToFit="0" vertical="center" wrapText="1"/>
    </xf>
    <xf borderId="3" fillId="2" fontId="8" numFmtId="49" xfId="0" applyAlignment="1" applyBorder="1" applyFont="1" applyNumberFormat="1">
      <alignment horizontal="center" readingOrder="0" shrinkToFit="0" vertical="center" wrapText="1"/>
    </xf>
    <xf borderId="1" fillId="4" fontId="4" numFmtId="49" xfId="0" applyAlignment="1" applyBorder="1" applyFill="1" applyFont="1" applyNumberFormat="1">
      <alignment horizontal="center" readingOrder="0" shrinkToFit="0" vertical="center" wrapText="1"/>
    </xf>
    <xf borderId="4" fillId="5" fontId="9" numFmtId="49" xfId="0" applyAlignment="1" applyBorder="1" applyFill="1" applyFont="1" applyNumberFormat="1">
      <alignment horizontal="center" readingOrder="0" shrinkToFit="0" vertical="center" wrapText="1"/>
    </xf>
    <xf borderId="5" fillId="0" fontId="3" numFmtId="0" xfId="0" applyBorder="1" applyFont="1"/>
    <xf borderId="6" fillId="0" fontId="3" numFmtId="0" xfId="0" applyBorder="1" applyFont="1"/>
    <xf borderId="4" fillId="5" fontId="10" numFmtId="49" xfId="0" applyAlignment="1" applyBorder="1" applyFont="1" applyNumberFormat="1">
      <alignment horizontal="center" readingOrder="0" shrinkToFit="0" vertical="center" wrapText="1"/>
    </xf>
    <xf borderId="3" fillId="5" fontId="1" numFmtId="49" xfId="0" applyAlignment="1" applyBorder="1" applyFont="1" applyNumberFormat="1">
      <alignment horizontal="center" readingOrder="0" shrinkToFit="0" vertical="center" wrapText="1"/>
    </xf>
    <xf borderId="3" fillId="4" fontId="4" numFmtId="49" xfId="0" applyAlignment="1" applyBorder="1" applyFont="1" applyNumberFormat="1">
      <alignment horizontal="center" readingOrder="0" shrinkToFit="0" vertical="center" wrapText="1"/>
    </xf>
    <xf borderId="3" fillId="4" fontId="7" numFmtId="46" xfId="0" applyAlignment="1" applyBorder="1" applyFont="1" applyNumberFormat="1">
      <alignment horizontal="center" readingOrder="0" shrinkToFit="0" vertical="center" wrapText="1"/>
    </xf>
    <xf borderId="3" fillId="4" fontId="4" numFmtId="164" xfId="0" applyAlignment="1" applyBorder="1" applyFont="1" applyNumberFormat="1">
      <alignment horizontal="center" readingOrder="0" shrinkToFit="0" vertical="center" wrapText="1"/>
    </xf>
    <xf borderId="4" fillId="5" fontId="1" numFmtId="49" xfId="0" applyAlignment="1" applyBorder="1" applyFont="1" applyNumberFormat="1">
      <alignment horizontal="center" shrinkToFit="0" vertical="center" wrapText="1"/>
    </xf>
    <xf borderId="3" fillId="5" fontId="1" numFmtId="49" xfId="0" applyAlignment="1" applyBorder="1" applyFont="1" applyNumberFormat="1">
      <alignment horizontal="center" shrinkToFit="0" vertical="center" wrapText="1"/>
    </xf>
    <xf borderId="4" fillId="5" fontId="1" numFmtId="49" xfId="0" applyAlignment="1" applyBorder="1" applyFont="1" applyNumberFormat="1">
      <alignment horizontal="center" shrinkToFit="0" wrapText="1"/>
    </xf>
    <xf borderId="4" fillId="5" fontId="10" numFmtId="49" xfId="0" applyAlignment="1" applyBorder="1" applyFont="1" applyNumberFormat="1">
      <alignment horizontal="center" shrinkToFit="0" vertical="center" wrapText="1"/>
    </xf>
    <xf borderId="3" fillId="4" fontId="4" numFmtId="46" xfId="0" applyAlignment="1" applyBorder="1" applyFont="1" applyNumberFormat="1">
      <alignment horizontal="center" readingOrder="0" shrinkToFit="0" vertical="center" wrapText="1"/>
    </xf>
    <xf borderId="3" fillId="4" fontId="4" numFmtId="49" xfId="0" applyAlignment="1" applyBorder="1" applyFont="1" applyNumberFormat="1">
      <alignment horizontal="center" shrinkToFit="0" vertical="center" wrapText="1"/>
    </xf>
    <xf borderId="4" fillId="6" fontId="11" numFmtId="0" xfId="0" applyAlignment="1" applyBorder="1" applyFill="1" applyFont="1">
      <alignment horizontal="center" readingOrder="0" shrinkToFit="0" vertical="center" wrapText="1"/>
    </xf>
    <xf borderId="7" fillId="0" fontId="12" numFmtId="0" xfId="0" applyAlignment="1" applyBorder="1" applyFont="1">
      <alignment horizontal="center" readingOrder="0" shrinkToFit="0" vertical="center" wrapText="1"/>
    </xf>
    <xf borderId="8" fillId="0" fontId="3" numFmtId="0" xfId="0" applyBorder="1" applyFont="1"/>
    <xf borderId="4" fillId="7" fontId="13" numFmtId="0" xfId="0" applyAlignment="1" applyBorder="1" applyFill="1" applyFont="1">
      <alignment horizontal="center" shrinkToFit="0" vertical="center" wrapText="1"/>
    </xf>
    <xf borderId="1" fillId="3" fontId="14" numFmtId="164" xfId="0" applyAlignment="1" applyBorder="1" applyFont="1" applyNumberFormat="1">
      <alignment horizontal="center" readingOrder="0" shrinkToFit="0" vertical="center" wrapText="1"/>
    </xf>
    <xf borderId="9" fillId="8" fontId="10" numFmtId="0" xfId="0" applyAlignment="1" applyBorder="1" applyFill="1" applyFont="1">
      <alignment horizontal="center" readingOrder="0" shrinkToFit="0" vertical="center" wrapText="1"/>
    </xf>
    <xf borderId="10" fillId="0" fontId="3" numFmtId="0" xfId="0" applyBorder="1" applyFont="1"/>
    <xf borderId="9" fillId="8" fontId="10" numFmtId="0" xfId="0" applyAlignment="1" applyBorder="1" applyFont="1">
      <alignment horizontal="center" shrinkToFit="0" vertical="center" wrapText="1"/>
    </xf>
    <xf borderId="11" fillId="0" fontId="15" numFmtId="0" xfId="0" applyAlignment="1" applyBorder="1" applyFont="1">
      <alignment horizontal="center" readingOrder="0" shrinkToFit="0" vertical="center" wrapText="1"/>
    </xf>
    <xf borderId="12" fillId="0" fontId="3" numFmtId="0" xfId="0" applyBorder="1" applyFont="1"/>
    <xf borderId="9" fillId="3" fontId="5" numFmtId="0" xfId="0" applyAlignment="1" applyBorder="1" applyFont="1">
      <alignment horizontal="center" shrinkToFit="0" vertical="center" wrapText="1"/>
    </xf>
    <xf borderId="9" fillId="9" fontId="4" numFmtId="0" xfId="0" applyAlignment="1" applyBorder="1" applyFill="1" applyFont="1">
      <alignment horizontal="center" readingOrder="0" shrinkToFit="0" vertical="center" wrapText="1"/>
    </xf>
    <xf borderId="13" fillId="0" fontId="3" numFmtId="0" xfId="0" applyBorder="1" applyFont="1"/>
    <xf borderId="14" fillId="0" fontId="3" numFmtId="0" xfId="0" applyBorder="1" applyFont="1"/>
    <xf borderId="15" fillId="0" fontId="3" numFmtId="0" xfId="0" applyBorder="1" applyFont="1"/>
    <xf borderId="16" fillId="0" fontId="3" numFmtId="0" xfId="0" applyBorder="1" applyFont="1"/>
    <xf borderId="17" fillId="0" fontId="3" numFmtId="0" xfId="0" applyBorder="1" applyFont="1"/>
    <xf borderId="18" fillId="0" fontId="3" numFmtId="0" xfId="0" applyBorder="1" applyFont="1"/>
    <xf borderId="19" fillId="0" fontId="3" numFmtId="0" xfId="0" applyBorder="1" applyFont="1"/>
    <xf borderId="20" fillId="0" fontId="3" numFmtId="0" xfId="0" applyBorder="1" applyFont="1"/>
    <xf borderId="21" fillId="0" fontId="3" numFmtId="0" xfId="0" applyBorder="1" applyFont="1"/>
    <xf borderId="22" fillId="0" fontId="3" numFmtId="0" xfId="0" applyBorder="1" applyFont="1"/>
    <xf borderId="13" fillId="3" fontId="5" numFmtId="0" xfId="0" applyAlignment="1" applyBorder="1" applyFont="1">
      <alignment horizontal="center" readingOrder="0" shrinkToFit="0" vertical="center" wrapText="1"/>
    </xf>
    <xf borderId="9" fillId="9" fontId="4" numFmtId="0" xfId="0" applyAlignment="1" applyBorder="1" applyFont="1">
      <alignment horizontal="center" shrinkToFit="0" vertical="center" wrapText="1"/>
    </xf>
    <xf borderId="11" fillId="0" fontId="16" numFmtId="0" xfId="0" applyAlignment="1" applyBorder="1" applyFont="1">
      <alignment horizontal="center" readingOrder="0" shrinkToFit="0" vertical="center" wrapText="1"/>
    </xf>
    <xf borderId="13" fillId="3" fontId="5" numFmtId="0" xfId="0" applyAlignment="1" applyBorder="1" applyFont="1">
      <alignment horizontal="center" shrinkToFit="0" vertical="center" wrapText="1"/>
    </xf>
    <xf borderId="9" fillId="10" fontId="12" numFmtId="0" xfId="0" applyAlignment="1" applyBorder="1" applyFill="1" applyFont="1">
      <alignment horizontal="center" readingOrder="0" shrinkToFit="0" vertical="center" wrapText="1"/>
    </xf>
    <xf borderId="1" fillId="11" fontId="17" numFmtId="0" xfId="0" applyAlignment="1" applyBorder="1" applyFill="1" applyFont="1">
      <alignment horizontal="center" readingOrder="0" shrinkToFit="0" vertical="center" wrapText="1"/>
    </xf>
    <xf borderId="1" fillId="10" fontId="12" numFmtId="165" xfId="0" applyAlignment="1" applyBorder="1" applyFont="1" applyNumberFormat="1">
      <alignment horizontal="center" readingOrder="0" shrinkToFit="0" vertical="center" wrapText="1"/>
    </xf>
    <xf borderId="4" fillId="11" fontId="17" numFmtId="0" xfId="0" applyAlignment="1" applyBorder="1" applyFont="1">
      <alignment horizontal="center" readingOrder="0" shrinkToFit="0" vertical="center" wrapText="1"/>
    </xf>
    <xf borderId="4" fillId="10" fontId="18" numFmtId="0" xfId="0" applyAlignment="1" applyBorder="1" applyFont="1">
      <alignment horizontal="center" readingOrder="0" shrinkToFit="0" vertical="center" wrapText="1"/>
    </xf>
    <xf borderId="0" fillId="0" fontId="19" numFmtId="0" xfId="0" applyAlignment="1" applyFont="1">
      <alignment horizontal="center" shrinkToFit="0" vertical="center" wrapText="1"/>
    </xf>
    <xf borderId="18" fillId="10" fontId="16" numFmtId="0" xfId="0" applyAlignment="1" applyBorder="1" applyFont="1">
      <alignment horizontal="right" readingOrder="0" shrinkToFit="0" vertical="center" wrapText="1"/>
    </xf>
    <xf borderId="3" fillId="0" fontId="16" numFmtId="0" xfId="0" applyAlignment="1" applyBorder="1" applyFont="1">
      <alignment horizontal="center" readingOrder="0" shrinkToFit="0" vertical="center" wrapText="1"/>
    </xf>
    <xf borderId="0" fillId="0" fontId="20" numFmtId="0" xfId="0" applyAlignment="1" applyFont="1">
      <alignment horizontal="center" shrinkToFit="0" vertical="center" wrapText="1"/>
    </xf>
    <xf borderId="3" fillId="0" fontId="21" numFmtId="0" xfId="0" applyAlignment="1" applyBorder="1" applyFont="1">
      <alignment horizontal="center" readingOrder="0" shrinkToFit="0" vertical="center" wrapText="1"/>
    </xf>
    <xf borderId="3" fillId="12" fontId="22" numFmtId="0" xfId="0" applyAlignment="1" applyBorder="1" applyFill="1" applyFont="1">
      <alignment horizontal="center" readingOrder="0" shrinkToFit="0" vertical="center" wrapText="1"/>
    </xf>
    <xf borderId="3" fillId="13" fontId="23" numFmtId="0" xfId="0" applyAlignment="1" applyBorder="1" applyFill="1" applyFont="1">
      <alignment horizontal="center" readingOrder="0" shrinkToFit="0" vertical="center" wrapText="1"/>
    </xf>
    <xf borderId="3" fillId="12" fontId="24" numFmtId="0" xfId="0" applyAlignment="1" applyBorder="1" applyFont="1">
      <alignment horizontal="center" readingOrder="0" shrinkToFit="0" vertical="center" wrapText="1"/>
    </xf>
    <xf borderId="3" fillId="13" fontId="22" numFmtId="0" xfId="0" applyAlignment="1" applyBorder="1" applyFont="1">
      <alignment horizontal="center" readingOrder="0" shrinkToFit="0" vertical="center" wrapText="1"/>
    </xf>
    <xf borderId="3" fillId="12" fontId="22" numFmtId="0" xfId="0" applyAlignment="1" applyBorder="1" applyFont="1">
      <alignment horizontal="center" readingOrder="0" shrinkToFit="0" vertical="center" wrapText="1"/>
    </xf>
    <xf borderId="3" fillId="0" fontId="24" numFmtId="0" xfId="0" applyAlignment="1" applyBorder="1" applyFont="1">
      <alignment horizontal="center" readingOrder="0" shrinkToFit="0" vertical="center" wrapText="1"/>
    </xf>
    <xf borderId="3" fillId="13" fontId="24" numFmtId="0" xfId="0" applyAlignment="1" applyBorder="1" applyFont="1">
      <alignment horizontal="center" readingOrder="0" shrinkToFit="0" vertical="center" wrapText="1"/>
    </xf>
    <xf borderId="0" fillId="0" fontId="25" numFmtId="0" xfId="0" applyAlignment="1" applyFont="1">
      <alignment horizontal="center" readingOrder="0" shrinkToFit="0" vertical="center" wrapText="1"/>
    </xf>
    <xf borderId="3" fillId="13" fontId="24" numFmtId="0" xfId="0" applyAlignment="1" applyBorder="1" applyFont="1">
      <alignment horizontal="center" readingOrder="0" shrinkToFit="0" vertical="center" wrapText="1"/>
    </xf>
    <xf borderId="3" fillId="13" fontId="22" numFmtId="0" xfId="0" applyAlignment="1" applyBorder="1" applyFont="1">
      <alignment horizontal="center" readingOrder="0" shrinkToFit="0" vertical="center" wrapText="1"/>
    </xf>
    <xf borderId="3" fillId="13" fontId="18" numFmtId="0" xfId="0" applyAlignment="1" applyBorder="1" applyFont="1">
      <alignment horizontal="center" readingOrder="0" shrinkToFit="0" vertical="center" wrapText="1"/>
    </xf>
    <xf borderId="3" fillId="12" fontId="22" numFmtId="20" xfId="0" applyAlignment="1" applyBorder="1" applyFont="1" applyNumberFormat="1">
      <alignment horizontal="center" readingOrder="0" shrinkToFit="0" vertical="center" wrapText="1"/>
    </xf>
    <xf borderId="3" fillId="13" fontId="26" numFmtId="0" xfId="0" applyAlignment="1" applyBorder="1" applyFont="1">
      <alignment horizontal="center" readingOrder="0" shrinkToFit="0" vertical="center" wrapText="1"/>
    </xf>
    <xf borderId="0" fillId="0" fontId="27" numFmtId="0" xfId="0" applyAlignment="1" applyFont="1">
      <alignment horizontal="center" shrinkToFit="0" vertical="center" wrapText="1"/>
    </xf>
    <xf borderId="0" fillId="0" fontId="18" numFmtId="0" xfId="0" applyAlignment="1" applyFont="1">
      <alignment horizontal="center" readingOrder="0" shrinkToFit="0" vertical="center" wrapText="1"/>
    </xf>
    <xf borderId="3" fillId="12" fontId="24" numFmtId="0" xfId="0" applyAlignment="1" applyBorder="1" applyFont="1">
      <alignment horizontal="center" readingOrder="0" shrinkToFit="0" vertical="center" wrapText="1"/>
    </xf>
    <xf borderId="0" fillId="0" fontId="20" numFmtId="0" xfId="0" applyAlignment="1" applyFont="1">
      <alignment shrinkToFit="0" vertical="center" wrapText="1"/>
    </xf>
    <xf borderId="0" fillId="0" fontId="20" numFmtId="0" xfId="0" applyAlignment="1" applyFont="1">
      <alignment horizontal="center" shrinkToFit="0" vertical="center" wrapText="1"/>
    </xf>
    <xf borderId="13" fillId="10" fontId="12" numFmtId="0" xfId="0" applyAlignment="1" applyBorder="1" applyFont="1">
      <alignment horizontal="center" readingOrder="0" shrinkToFit="0" vertical="center" wrapText="1"/>
    </xf>
    <xf borderId="1" fillId="14" fontId="17" numFmtId="0" xfId="0" applyAlignment="1" applyBorder="1" applyFill="1" applyFont="1">
      <alignment horizontal="center" readingOrder="0" shrinkToFit="0" vertical="center" wrapText="1"/>
    </xf>
    <xf borderId="4" fillId="14" fontId="17" numFmtId="0" xfId="0" applyAlignment="1" applyBorder="1" applyFont="1">
      <alignment horizontal="center" readingOrder="0" shrinkToFit="0" vertical="center" wrapText="1"/>
    </xf>
    <xf borderId="0" fillId="10" fontId="16" numFmtId="0" xfId="0" applyAlignment="1" applyFont="1">
      <alignment horizontal="right" readingOrder="0" shrinkToFit="0" vertical="center" wrapText="1"/>
    </xf>
    <xf borderId="3" fillId="14" fontId="21" numFmtId="0" xfId="0" applyAlignment="1" applyBorder="1" applyFont="1">
      <alignment horizontal="center" readingOrder="0" shrinkToFit="0" vertical="center" wrapText="1"/>
    </xf>
    <xf borderId="3" fillId="13" fontId="18" numFmtId="0" xfId="0" applyAlignment="1" applyBorder="1" applyFont="1">
      <alignment horizontal="center" readingOrder="0" shrinkToFit="0" vertical="center" wrapText="1"/>
    </xf>
    <xf borderId="1" fillId="15" fontId="17" numFmtId="0" xfId="0" applyAlignment="1" applyBorder="1" applyFill="1" applyFont="1">
      <alignment horizontal="center" readingOrder="0" shrinkToFit="0" vertical="center" wrapText="1"/>
    </xf>
    <xf borderId="4" fillId="15" fontId="17" numFmtId="0" xfId="0" applyAlignment="1" applyBorder="1" applyFont="1">
      <alignment horizontal="center" readingOrder="0" shrinkToFit="0" vertical="center" wrapText="1"/>
    </xf>
    <xf borderId="3" fillId="15" fontId="21" numFmtId="0" xfId="0" applyAlignment="1" applyBorder="1" applyFont="1">
      <alignment horizontal="center" readingOrder="0" shrinkToFit="0" vertical="center" wrapText="1"/>
    </xf>
    <xf borderId="1" fillId="16" fontId="17" numFmtId="0" xfId="0" applyAlignment="1" applyBorder="1" applyFill="1" applyFont="1">
      <alignment horizontal="center" readingOrder="0" shrinkToFit="0" vertical="center" wrapText="1"/>
    </xf>
    <xf borderId="4" fillId="16" fontId="17" numFmtId="0" xfId="0" applyAlignment="1" applyBorder="1" applyFont="1">
      <alignment horizontal="center" readingOrder="0" shrinkToFit="0" vertical="center" wrapText="1"/>
    </xf>
    <xf borderId="3" fillId="16" fontId="21" numFmtId="0" xfId="0" applyAlignment="1" applyBorder="1" applyFont="1">
      <alignment horizontal="center" readingOrder="0" shrinkToFit="0" vertical="center" wrapText="1"/>
    </xf>
    <xf borderId="1" fillId="17" fontId="17" numFmtId="0" xfId="0" applyAlignment="1" applyBorder="1" applyFill="1" applyFont="1">
      <alignment horizontal="center" readingOrder="0" shrinkToFit="0" vertical="center" wrapText="1"/>
    </xf>
    <xf borderId="4" fillId="17" fontId="17" numFmtId="0" xfId="0" applyAlignment="1" applyBorder="1" applyFont="1">
      <alignment horizontal="center" readingOrder="0" shrinkToFit="0" vertical="center" wrapText="1"/>
    </xf>
    <xf borderId="3" fillId="17" fontId="21" numFmtId="0" xfId="0" applyAlignment="1" applyBorder="1" applyFont="1">
      <alignment horizontal="center" readingOrder="0" shrinkToFit="0" vertical="center" wrapText="1"/>
    </xf>
    <xf borderId="1" fillId="18" fontId="17" numFmtId="0" xfId="0" applyAlignment="1" applyBorder="1" applyFill="1" applyFont="1">
      <alignment horizontal="center" readingOrder="0" shrinkToFit="0" vertical="center" wrapText="1"/>
    </xf>
    <xf borderId="4" fillId="18" fontId="17" numFmtId="0" xfId="0" applyAlignment="1" applyBorder="1" applyFont="1">
      <alignment horizontal="center" readingOrder="0" shrinkToFit="0" vertical="center" wrapText="1"/>
    </xf>
    <xf borderId="3" fillId="18" fontId="21" numFmtId="0" xfId="0" applyAlignment="1" applyBorder="1" applyFont="1">
      <alignment horizontal="center" readingOrder="0" shrinkToFit="0" vertical="center" wrapText="1"/>
    </xf>
    <xf borderId="1" fillId="19" fontId="17" numFmtId="0" xfId="0" applyAlignment="1" applyBorder="1" applyFill="1" applyFont="1">
      <alignment horizontal="center" readingOrder="0" shrinkToFit="0" vertical="center" wrapText="1"/>
    </xf>
    <xf borderId="4" fillId="19" fontId="17" numFmtId="0" xfId="0" applyAlignment="1" applyBorder="1" applyFont="1">
      <alignment horizontal="center" readingOrder="0" shrinkToFit="0" vertical="center" wrapText="1"/>
    </xf>
    <xf borderId="3" fillId="19" fontId="21" numFmtId="0" xfId="0" applyAlignment="1" applyBorder="1" applyFont="1">
      <alignment horizontal="center" readingOrder="0" shrinkToFit="0" vertical="center" wrapText="1"/>
    </xf>
    <xf borderId="1" fillId="20" fontId="17" numFmtId="0" xfId="0" applyAlignment="1" applyBorder="1" applyFill="1" applyFont="1">
      <alignment horizontal="center" readingOrder="0" shrinkToFit="0" vertical="center" wrapText="1"/>
    </xf>
    <xf borderId="4" fillId="20" fontId="17" numFmtId="0" xfId="0" applyAlignment="1" applyBorder="1" applyFont="1">
      <alignment horizontal="center" readingOrder="0" shrinkToFit="0" vertical="center" wrapText="1"/>
    </xf>
    <xf borderId="3" fillId="20" fontId="21" numFmtId="0" xfId="0" applyAlignment="1" applyBorder="1" applyFont="1">
      <alignment horizontal="center" readingOrder="0" shrinkToFit="0" vertical="center" wrapText="1"/>
    </xf>
    <xf borderId="1" fillId="21" fontId="17" numFmtId="0" xfId="0" applyAlignment="1" applyBorder="1" applyFill="1" applyFont="1">
      <alignment horizontal="center" readingOrder="0" shrinkToFit="0" vertical="center" wrapText="1"/>
    </xf>
    <xf borderId="4" fillId="21" fontId="17" numFmtId="0" xfId="0" applyAlignment="1" applyBorder="1" applyFont="1">
      <alignment horizontal="center" readingOrder="0" shrinkToFit="0" vertical="center" wrapText="1"/>
    </xf>
    <xf borderId="3" fillId="21" fontId="21" numFmtId="0" xfId="0" applyAlignment="1" applyBorder="1" applyFont="1">
      <alignment horizontal="center" readingOrder="0" shrinkToFit="0" vertical="center" wrapText="1"/>
    </xf>
    <xf borderId="3" fillId="12" fontId="16" numFmtId="0" xfId="0" applyAlignment="1" applyBorder="1" applyFont="1">
      <alignment horizontal="center" readingOrder="0" shrinkToFit="0" vertical="center" wrapText="1"/>
    </xf>
    <xf borderId="3" fillId="13" fontId="7" numFmtId="0" xfId="0" applyAlignment="1" applyBorder="1" applyFont="1">
      <alignment horizontal="center" readingOrder="0" shrinkToFit="0" vertical="center" wrapText="1"/>
    </xf>
    <xf borderId="3" fillId="12" fontId="10" numFmtId="0" xfId="0" applyAlignment="1" applyBorder="1" applyFont="1">
      <alignment horizontal="center" readingOrder="0" shrinkToFit="0" vertical="center" wrapText="1"/>
    </xf>
    <xf borderId="3" fillId="13" fontId="10" numFmtId="0" xfId="0" applyAlignment="1" applyBorder="1" applyFont="1">
      <alignment horizontal="center" readingOrder="0" shrinkToFit="0" vertical="center" wrapText="1"/>
    </xf>
    <xf borderId="3" fillId="12" fontId="10" numFmtId="0" xfId="0" applyAlignment="1" applyBorder="1" applyFont="1">
      <alignment horizontal="center" readingOrder="0" shrinkToFit="0" vertical="center" wrapText="1"/>
    </xf>
    <xf borderId="3" fillId="13" fontId="16" numFmtId="0" xfId="0" applyAlignment="1" applyBorder="1" applyFont="1">
      <alignment horizontal="center" readingOrder="0" shrinkToFit="0" vertical="center" wrapText="1"/>
    </xf>
    <xf borderId="3" fillId="0" fontId="10" numFmtId="0" xfId="0" applyAlignment="1" applyBorder="1" applyFont="1">
      <alignment horizontal="center" readingOrder="0" shrinkToFit="0" vertical="center" wrapText="1"/>
    </xf>
    <xf borderId="3" fillId="13" fontId="17" numFmtId="0" xfId="0" applyAlignment="1" applyBorder="1" applyFont="1">
      <alignment horizontal="center" readingOrder="0" shrinkToFit="0" vertical="center" wrapText="1"/>
    </xf>
    <xf borderId="0" fillId="0" fontId="28" numFmtId="0" xfId="0" applyAlignment="1" applyFont="1">
      <alignment horizontal="center" readingOrder="0" shrinkToFit="0" vertical="center" wrapText="1"/>
    </xf>
    <xf borderId="3" fillId="13" fontId="10" numFmtId="0" xfId="0" applyAlignment="1" applyBorder="1" applyFont="1">
      <alignment horizontal="center" readingOrder="0" shrinkToFit="0" vertical="center" wrapText="1"/>
    </xf>
    <xf borderId="3" fillId="13" fontId="16" numFmtId="0" xfId="0" applyAlignment="1" applyBorder="1" applyFont="1">
      <alignment horizontal="center" readingOrder="0" shrinkToFit="0" vertical="center" wrapText="1"/>
    </xf>
    <xf borderId="3" fillId="13" fontId="17" numFmtId="0" xfId="0" applyAlignment="1" applyBorder="1" applyFont="1">
      <alignment horizontal="center" readingOrder="0" shrinkToFit="0" vertical="center" wrapText="1"/>
    </xf>
    <xf borderId="0" fillId="0" fontId="17" numFmtId="0" xfId="0" applyAlignment="1" applyFont="1">
      <alignment horizontal="center" readingOrder="0" shrinkToFit="0" vertical="center" wrapText="1"/>
    </xf>
    <xf borderId="23" fillId="22" fontId="5" numFmtId="1" xfId="0" applyAlignment="1" applyBorder="1" applyFill="1" applyFont="1" applyNumberFormat="1">
      <alignment horizontal="center" shrinkToFit="0" vertical="center" wrapText="1"/>
    </xf>
    <xf borderId="23" fillId="7" fontId="13" numFmtId="1" xfId="0" applyAlignment="1" applyBorder="1" applyFont="1" applyNumberFormat="1">
      <alignment horizontal="center" shrinkToFit="0" vertical="center" wrapText="1"/>
    </xf>
    <xf borderId="23" fillId="23" fontId="5" numFmtId="1" xfId="0" applyAlignment="1" applyBorder="1" applyFill="1" applyFont="1" applyNumberFormat="1">
      <alignment horizontal="center" shrinkToFit="0" vertical="center" wrapText="1"/>
    </xf>
    <xf borderId="24" fillId="24" fontId="11" numFmtId="1" xfId="0" applyAlignment="1" applyBorder="1" applyFill="1" applyFont="1" applyNumberFormat="1">
      <alignment horizontal="center" readingOrder="0" shrinkToFit="0" vertical="center" wrapText="1"/>
    </xf>
    <xf borderId="23" fillId="13" fontId="29" numFmtId="1" xfId="0" applyAlignment="1" applyBorder="1" applyFont="1" applyNumberFormat="1">
      <alignment horizontal="center" readingOrder="0" shrinkToFit="0" vertical="center" wrapText="1"/>
    </xf>
    <xf borderId="0" fillId="25" fontId="29" numFmtId="1" xfId="0" applyAlignment="1" applyFill="1" applyFont="1" applyNumberFormat="1">
      <alignment horizontal="center" readingOrder="0" shrinkToFit="0" vertical="center" wrapText="1"/>
    </xf>
    <xf borderId="23" fillId="13" fontId="30" numFmtId="1" xfId="0" applyAlignment="1" applyBorder="1" applyFont="1" applyNumberFormat="1">
      <alignment horizontal="center" readingOrder="0" shrinkToFit="0" vertical="center" wrapText="1"/>
    </xf>
    <xf borderId="0" fillId="25" fontId="31" numFmtId="1" xfId="0" applyAlignment="1" applyFont="1" applyNumberFormat="1">
      <alignment horizontal="center" readingOrder="0" shrinkToFit="0" vertical="center" wrapText="1"/>
    </xf>
    <xf borderId="25" fillId="0" fontId="3" numFmtId="0" xfId="0" applyBorder="1" applyFont="1"/>
    <xf borderId="26" fillId="0" fontId="3" numFmtId="0" xfId="0" applyBorder="1" applyFont="1"/>
    <xf borderId="27" fillId="0" fontId="3" numFmtId="0" xfId="0" applyBorder="1" applyFont="1"/>
    <xf borderId="24" fillId="5" fontId="12" numFmtId="166" xfId="0" applyAlignment="1" applyBorder="1" applyFont="1" applyNumberFormat="1">
      <alignment horizontal="center" readingOrder="0" shrinkToFit="0" vertical="center" wrapText="1"/>
    </xf>
    <xf borderId="24" fillId="13" fontId="6" numFmtId="1" xfId="0" applyAlignment="1" applyBorder="1" applyFont="1" applyNumberFormat="1">
      <alignment horizontal="center" shrinkToFit="0" vertical="center" wrapText="1"/>
    </xf>
    <xf borderId="23" fillId="26" fontId="4" numFmtId="1" xfId="0" applyAlignment="1" applyBorder="1" applyFill="1" applyFont="1" applyNumberFormat="1">
      <alignment horizontal="center" shrinkToFit="0" vertical="center" wrapText="1"/>
    </xf>
    <xf borderId="23" fillId="13" fontId="32" numFmtId="1" xfId="0" applyAlignment="1" applyBorder="1" applyFont="1" applyNumberFormat="1">
      <alignment horizontal="center" shrinkToFit="0" vertical="center" wrapText="1"/>
    </xf>
    <xf borderId="24" fillId="13" fontId="31" numFmtId="1" xfId="0" applyAlignment="1" applyBorder="1" applyFont="1" applyNumberFormat="1">
      <alignment horizontal="center" readingOrder="0" shrinkToFit="0" vertical="center" wrapText="1"/>
    </xf>
    <xf borderId="24" fillId="13" fontId="10" numFmtId="1" xfId="0" applyAlignment="1" applyBorder="1" applyFont="1" applyNumberFormat="1">
      <alignment horizontal="center" shrinkToFit="0" vertical="center" wrapText="1"/>
    </xf>
    <xf borderId="28" fillId="0" fontId="3" numFmtId="0" xfId="0" applyBorder="1" applyFont="1"/>
    <xf borderId="23" fillId="10" fontId="10" numFmtId="1" xfId="0" applyAlignment="1" applyBorder="1" applyFont="1" applyNumberFormat="1">
      <alignment horizontal="center" readingOrder="0" shrinkToFit="0" vertical="center" wrapText="1"/>
    </xf>
    <xf borderId="11" fillId="0" fontId="3" numFmtId="0" xfId="0" applyBorder="1" applyFont="1"/>
    <xf borderId="29" fillId="13" fontId="33" numFmtId="1" xfId="0" applyAlignment="1" applyBorder="1" applyFont="1" applyNumberFormat="1">
      <alignment horizontal="center" shrinkToFit="0" vertical="center" wrapText="1"/>
    </xf>
    <xf borderId="29" fillId="13" fontId="33" numFmtId="0" xfId="0" applyAlignment="1" applyBorder="1" applyFont="1">
      <alignment horizontal="center" shrinkToFit="0" vertical="center" wrapText="1"/>
    </xf>
    <xf borderId="7" fillId="13" fontId="33" numFmtId="1" xfId="0" applyAlignment="1" applyBorder="1" applyFont="1" applyNumberFormat="1">
      <alignment horizontal="center" shrinkToFit="0" vertical="center" wrapText="1"/>
    </xf>
    <xf borderId="29" fillId="0" fontId="1" numFmtId="1" xfId="0" applyAlignment="1" applyBorder="1" applyFont="1" applyNumberFormat="1">
      <alignment horizontal="center" shrinkToFit="0" vertical="center" wrapText="1"/>
    </xf>
    <xf borderId="29" fillId="0" fontId="1" numFmtId="0" xfId="0" applyAlignment="1" applyBorder="1" applyFont="1">
      <alignment horizontal="center" shrinkToFit="0" vertical="center" wrapText="1"/>
    </xf>
    <xf borderId="7" fillId="0" fontId="1" numFmtId="1" xfId="0" applyAlignment="1" applyBorder="1" applyFont="1" applyNumberFormat="1">
      <alignment horizontal="center" shrinkToFit="0" vertical="center" wrapText="1"/>
    </xf>
    <xf borderId="7" fillId="27" fontId="31" numFmtId="1" xfId="0" applyAlignment="1" applyBorder="1" applyFill="1" applyFont="1" applyNumberFormat="1">
      <alignment horizontal="center" readingOrder="0" shrinkToFit="0" vertical="center" wrapText="1"/>
    </xf>
    <xf borderId="29" fillId="0" fontId="14" numFmtId="0" xfId="0" applyAlignment="1" applyBorder="1" applyFont="1">
      <alignment horizontal="center" readingOrder="0" shrinkToFit="0" vertical="center" wrapText="1"/>
    </xf>
    <xf borderId="7" fillId="25" fontId="34" numFmtId="1" xfId="0" applyAlignment="1" applyBorder="1" applyFont="1" applyNumberFormat="1">
      <alignment vertical="center"/>
    </xf>
    <xf borderId="30" fillId="0" fontId="3" numFmtId="0" xfId="0" applyBorder="1" applyFont="1"/>
    <xf borderId="23" fillId="2" fontId="4" numFmtId="1" xfId="0" applyAlignment="1" applyBorder="1" applyFont="1" applyNumberFormat="1">
      <alignment horizontal="center" shrinkToFit="0" vertical="center" wrapText="1"/>
    </xf>
    <xf borderId="8" fillId="0" fontId="1" numFmtId="1" xfId="0" applyAlignment="1" applyBorder="1" applyFont="1" applyNumberFormat="1">
      <alignment horizontal="center" shrinkToFit="0" vertical="center" wrapText="1"/>
    </xf>
    <xf borderId="30" fillId="0" fontId="1" numFmtId="1" xfId="0" applyAlignment="1" applyBorder="1" applyFont="1" applyNumberFormat="1">
      <alignment horizontal="center" shrinkToFit="0" vertical="center" wrapText="1"/>
    </xf>
    <xf borderId="11" fillId="13" fontId="35" numFmtId="1" xfId="0" applyAlignment="1" applyBorder="1" applyFont="1" applyNumberFormat="1">
      <alignment horizontal="center" shrinkToFit="0" vertical="center" wrapText="1"/>
    </xf>
    <xf borderId="8" fillId="0" fontId="1" numFmtId="0" xfId="0" applyAlignment="1" applyBorder="1" applyFont="1">
      <alignment horizontal="center" shrinkToFit="0" vertical="center" wrapText="1"/>
    </xf>
    <xf borderId="23" fillId="13" fontId="4" numFmtId="1" xfId="0" applyAlignment="1" applyBorder="1" applyFont="1" applyNumberFormat="1">
      <alignment horizontal="center" shrinkToFit="0" vertical="center" wrapText="1"/>
    </xf>
    <xf borderId="0" fillId="25" fontId="34" numFmtId="1" xfId="0" applyAlignment="1" applyFont="1" applyNumberFormat="1">
      <alignment vertical="center"/>
    </xf>
    <xf borderId="11" fillId="26" fontId="4" numFmtId="1" xfId="0" applyAlignment="1" applyBorder="1" applyFont="1" applyNumberFormat="1">
      <alignment horizontal="center" shrinkToFit="0" vertical="center" wrapText="1"/>
    </xf>
    <xf borderId="8" fillId="13" fontId="33" numFmtId="1" xfId="0" applyAlignment="1" applyBorder="1" applyFont="1" applyNumberFormat="1">
      <alignment horizontal="center" shrinkToFit="0" vertical="center" wrapText="1"/>
    </xf>
    <xf borderId="0" fillId="0" fontId="34" numFmtId="1" xfId="0" applyAlignment="1" applyFont="1" applyNumberFormat="1">
      <alignment vertical="center"/>
    </xf>
    <xf borderId="7" fillId="0" fontId="16" numFmtId="1" xfId="0" applyAlignment="1" applyBorder="1" applyFont="1" applyNumberFormat="1">
      <alignment horizontal="center" shrinkToFit="0" vertical="center" wrapText="1"/>
    </xf>
    <xf borderId="11" fillId="25" fontId="29" numFmtId="1" xfId="0" applyAlignment="1" applyBorder="1" applyFont="1" applyNumberFormat="1">
      <alignment horizontal="center" readingOrder="0" shrinkToFit="0" vertical="center" wrapText="1"/>
    </xf>
    <xf borderId="23" fillId="13" fontId="36" numFmtId="1" xfId="0" applyAlignment="1" applyBorder="1" applyFont="1" applyNumberFormat="1">
      <alignment horizontal="center" shrinkToFit="0" vertical="center" wrapText="1"/>
    </xf>
    <xf borderId="29" fillId="25" fontId="33" numFmtId="1" xfId="0" applyAlignment="1" applyBorder="1" applyFont="1" applyNumberFormat="1">
      <alignment horizontal="center" shrinkToFit="0" vertical="center" wrapText="1"/>
    </xf>
    <xf borderId="29" fillId="25" fontId="33" numFmtId="0" xfId="0" applyAlignment="1" applyBorder="1" applyFont="1">
      <alignment horizontal="center" shrinkToFit="0" vertical="center" wrapText="1"/>
    </xf>
    <xf borderId="7" fillId="25" fontId="33" numFmtId="1" xfId="0" applyAlignment="1" applyBorder="1" applyFont="1" applyNumberFormat="1">
      <alignment horizontal="center" shrinkToFit="0" vertical="center" wrapText="1"/>
    </xf>
    <xf borderId="8" fillId="0" fontId="1" numFmtId="167" xfId="0" applyAlignment="1" applyBorder="1" applyFont="1" applyNumberFormat="1">
      <alignment horizontal="center" shrinkToFit="0" vertical="center" wrapText="1"/>
    </xf>
    <xf borderId="29" fillId="0" fontId="1" numFmtId="167" xfId="0" applyAlignment="1" applyBorder="1" applyFont="1" applyNumberFormat="1">
      <alignment horizontal="center" shrinkToFit="0" vertical="center" wrapText="1"/>
    </xf>
    <xf borderId="7" fillId="0" fontId="34" numFmtId="1" xfId="0" applyAlignment="1" applyBorder="1" applyFont="1" applyNumberFormat="1">
      <alignment vertical="center"/>
    </xf>
    <xf borderId="29" fillId="0" fontId="5" numFmtId="167" xfId="0" applyAlignment="1" applyBorder="1" applyFont="1" applyNumberFormat="1">
      <alignment horizontal="center" shrinkToFit="0" vertical="center" wrapText="1"/>
    </xf>
    <xf borderId="23" fillId="0" fontId="16" numFmtId="1" xfId="0" applyAlignment="1" applyBorder="1" applyFont="1" applyNumberFormat="1">
      <alignment horizontal="center" shrinkToFit="0" vertical="center" wrapText="1"/>
    </xf>
    <xf borderId="23" fillId="25" fontId="13" numFmtId="1" xfId="0" applyAlignment="1" applyBorder="1" applyFont="1" applyNumberFormat="1">
      <alignment horizontal="center" shrinkToFit="0" vertical="center" wrapText="1"/>
    </xf>
    <xf borderId="7" fillId="5" fontId="4" numFmtId="1" xfId="0" applyAlignment="1" applyBorder="1" applyFont="1" applyNumberFormat="1">
      <alignment horizontal="center" shrinkToFit="0" vertical="center" wrapText="1"/>
    </xf>
    <xf borderId="29" fillId="13" fontId="37" numFmtId="1" xfId="0" applyAlignment="1" applyBorder="1" applyFont="1" applyNumberFormat="1">
      <alignment horizontal="center" shrinkToFit="0" vertical="center" wrapText="1"/>
    </xf>
    <xf borderId="7" fillId="12" fontId="4" numFmtId="1" xfId="0" applyAlignment="1" applyBorder="1" applyFont="1" applyNumberFormat="1">
      <alignment horizontal="center" shrinkToFit="0" vertical="center" wrapText="1"/>
    </xf>
    <xf borderId="7" fillId="13" fontId="4" numFmtId="1" xfId="0" applyAlignment="1" applyBorder="1" applyFont="1" applyNumberFormat="1">
      <alignment horizontal="center" shrinkToFit="0" vertical="center" wrapText="1"/>
    </xf>
    <xf borderId="7" fillId="0" fontId="4" numFmtId="1" xfId="0" applyAlignment="1" applyBorder="1" applyFont="1" applyNumberFormat="1">
      <alignment horizontal="center" shrinkToFit="0" vertical="center" wrapText="1"/>
    </xf>
    <xf borderId="24" fillId="13" fontId="34" numFmtId="1" xfId="0" applyAlignment="1" applyBorder="1" applyFont="1" applyNumberFormat="1">
      <alignment vertical="center"/>
    </xf>
    <xf borderId="23" fillId="12" fontId="4" numFmtId="1" xfId="0" applyAlignment="1" applyBorder="1" applyFont="1" applyNumberFormat="1">
      <alignment horizontal="center" shrinkToFit="0" vertical="center" wrapText="1"/>
    </xf>
    <xf borderId="9" fillId="28" fontId="38" numFmtId="0" xfId="0" applyAlignment="1" applyBorder="1" applyFill="1" applyFont="1">
      <alignment horizontal="center" readingOrder="0" shrinkToFit="0" vertical="center" wrapText="1"/>
    </xf>
    <xf borderId="4" fillId="10" fontId="39" numFmtId="0" xfId="0" applyAlignment="1" applyBorder="1" applyFont="1">
      <alignment horizontal="center" readingOrder="0" shrinkToFit="0" vertical="center" wrapText="1"/>
    </xf>
    <xf borderId="9" fillId="29" fontId="40" numFmtId="0" xfId="0" applyAlignment="1" applyBorder="1" applyFill="1" applyFont="1">
      <alignment horizontal="center" readingOrder="0" shrinkToFit="0" vertical="center" wrapText="1"/>
    </xf>
    <xf borderId="13" fillId="30" fontId="41" numFmtId="0" xfId="0" applyAlignment="1" applyBorder="1" applyFill="1" applyFont="1">
      <alignment horizontal="center" readingOrder="0" shrinkToFit="0" vertical="center" wrapText="1"/>
    </xf>
    <xf borderId="9" fillId="31" fontId="42" numFmtId="0" xfId="0" applyAlignment="1" applyBorder="1" applyFill="1" applyFont="1">
      <alignment horizontal="center" shrinkToFit="0" vertical="center" wrapText="1"/>
    </xf>
    <xf borderId="9" fillId="5" fontId="5" numFmtId="0" xfId="0" applyAlignment="1" applyBorder="1" applyFont="1">
      <alignment horizontal="center" readingOrder="0" shrinkToFit="0" vertical="center" wrapText="1"/>
    </xf>
    <xf borderId="1" fillId="12" fontId="13" numFmtId="0" xfId="0" applyAlignment="1" applyBorder="1" applyFont="1">
      <alignment horizontal="center" readingOrder="0" shrinkToFit="0" vertical="center" wrapText="1"/>
    </xf>
    <xf borderId="9" fillId="32" fontId="43" numFmtId="0" xfId="0" applyAlignment="1" applyBorder="1" applyFill="1" applyFont="1">
      <alignment horizontal="center" readingOrder="0" shrinkToFit="0" vertical="center" wrapText="1"/>
    </xf>
    <xf borderId="4" fillId="5" fontId="44" numFmtId="0" xfId="0" applyAlignment="1" applyBorder="1" applyFont="1">
      <alignment horizontal="center" readingOrder="0" shrinkToFit="0" vertical="center" wrapText="1"/>
    </xf>
    <xf borderId="9" fillId="2" fontId="5" numFmtId="0" xfId="0" applyAlignment="1" applyBorder="1" applyFont="1">
      <alignment horizontal="center" readingOrder="0" shrinkToFit="0" vertical="center" wrapText="1"/>
    </xf>
    <xf borderId="4" fillId="2" fontId="45" numFmtId="0" xfId="0" applyAlignment="1" applyBorder="1" applyFont="1">
      <alignment horizontal="center" readingOrder="0" shrinkToFit="0" vertical="center" wrapText="1"/>
    </xf>
    <xf borderId="4" fillId="6" fontId="46" numFmtId="0" xfId="0" applyAlignment="1" applyBorder="1" applyFont="1">
      <alignment horizontal="center" shrinkToFit="0" vertical="center" wrapText="1"/>
    </xf>
    <xf borderId="5" fillId="6" fontId="46" numFmtId="0" xfId="0" applyAlignment="1" applyBorder="1" applyFont="1">
      <alignment horizontal="center" shrinkToFit="0" vertical="center" wrapText="1"/>
    </xf>
    <xf borderId="10" fillId="6" fontId="47" numFmtId="0" xfId="0" applyAlignment="1" applyBorder="1" applyFont="1">
      <alignment horizontal="center" shrinkToFit="0" vertical="center" wrapText="1"/>
    </xf>
    <xf borderId="4" fillId="3" fontId="1" numFmtId="0" xfId="0" applyAlignment="1" applyBorder="1" applyFont="1">
      <alignment horizontal="center" readingOrder="0" shrinkToFit="0" vertical="center" wrapText="1"/>
    </xf>
    <xf borderId="1" fillId="3" fontId="4" numFmtId="0" xfId="0" applyAlignment="1" applyBorder="1" applyFont="1">
      <alignment horizontal="center" readingOrder="0" shrinkToFit="0" vertical="center" wrapText="1"/>
    </xf>
    <xf borderId="4" fillId="29" fontId="47" numFmtId="168" xfId="0" applyAlignment="1" applyBorder="1" applyFont="1" applyNumberFormat="1">
      <alignment horizontal="center" readingOrder="0" shrinkToFit="0" vertical="center" wrapText="1"/>
    </xf>
    <xf borderId="1" fillId="33" fontId="48" numFmtId="0" xfId="0" applyAlignment="1" applyBorder="1" applyFill="1" applyFont="1">
      <alignment horizontal="center" shrinkToFit="0" vertical="center" wrapText="1"/>
    </xf>
    <xf borderId="1" fillId="25" fontId="48" numFmtId="0" xfId="0" applyAlignment="1" applyBorder="1" applyFont="1">
      <alignment horizontal="center" readingOrder="0" shrinkToFit="0" vertical="center" wrapText="1"/>
    </xf>
    <xf borderId="3" fillId="33" fontId="33" numFmtId="0" xfId="0" applyAlignment="1" applyBorder="1" applyFont="1">
      <alignment horizontal="center" readingOrder="0" shrinkToFit="0" vertical="center" wrapText="1"/>
    </xf>
    <xf borderId="3" fillId="24" fontId="49" numFmtId="0" xfId="0" applyAlignment="1" applyBorder="1" applyFont="1">
      <alignment horizontal="center" readingOrder="0" shrinkToFit="0" vertical="center" wrapText="1"/>
    </xf>
    <xf borderId="3" fillId="33" fontId="14" numFmtId="0" xfId="0" applyAlignment="1" applyBorder="1" applyFont="1">
      <alignment horizontal="center" readingOrder="0" shrinkToFit="0" vertical="center" wrapText="1"/>
    </xf>
    <xf borderId="3" fillId="34" fontId="1" numFmtId="0" xfId="0" applyAlignment="1" applyBorder="1" applyFill="1" applyFont="1">
      <alignment horizontal="center" shrinkToFit="0" vertical="center" wrapText="1"/>
    </xf>
    <xf borderId="3" fillId="25" fontId="24" numFmtId="0" xfId="0" applyAlignment="1" applyBorder="1" applyFont="1">
      <alignment horizontal="center" readingOrder="0" shrinkToFit="0" vertical="center" wrapText="1"/>
    </xf>
    <xf borderId="3" fillId="34" fontId="10" numFmtId="0" xfId="0" applyAlignment="1" applyBorder="1" applyFont="1">
      <alignment horizontal="center" readingOrder="0" shrinkToFit="0" vertical="center" wrapText="1"/>
    </xf>
    <xf borderId="3" fillId="25" fontId="50" numFmtId="0" xfId="0" applyAlignment="1" applyBorder="1" applyFont="1">
      <alignment horizontal="center" readingOrder="0" shrinkToFit="0" vertical="center" wrapText="1"/>
    </xf>
    <xf borderId="3" fillId="25" fontId="50" numFmtId="20" xfId="0" applyAlignment="1" applyBorder="1" applyFont="1" applyNumberFormat="1">
      <alignment horizontal="center" readingOrder="0" shrinkToFit="0" vertical="center" wrapText="1"/>
    </xf>
    <xf borderId="1" fillId="3" fontId="1" numFmtId="0" xfId="0" applyAlignment="1" applyBorder="1" applyFont="1">
      <alignment horizontal="center" readingOrder="0" shrinkToFit="0" vertical="center" wrapText="1"/>
    </xf>
    <xf borderId="4" fillId="24" fontId="51" numFmtId="0" xfId="0" applyAlignment="1" applyBorder="1" applyFont="1">
      <alignment horizontal="center" readingOrder="0" shrinkToFit="0" vertical="center" wrapText="1"/>
    </xf>
    <xf borderId="4" fillId="6" fontId="21" numFmtId="0" xfId="0" applyAlignment="1" applyBorder="1" applyFont="1">
      <alignment horizontal="center" readingOrder="0" shrinkToFit="0" vertical="center" wrapText="1"/>
    </xf>
    <xf borderId="4" fillId="25" fontId="10" numFmtId="0" xfId="0" applyAlignment="1" applyBorder="1" applyFont="1">
      <alignment horizontal="center" readingOrder="0" shrinkToFit="0" vertical="center" wrapText="1"/>
    </xf>
    <xf borderId="3" fillId="35" fontId="1" numFmtId="0" xfId="0" applyAlignment="1" applyBorder="1" applyFill="1" applyFont="1">
      <alignment horizontal="center" shrinkToFit="0" vertical="center" wrapText="1"/>
    </xf>
    <xf borderId="3" fillId="3" fontId="1" numFmtId="0" xfId="0" applyAlignment="1" applyBorder="1" applyFont="1">
      <alignment horizontal="center" readingOrder="0" shrinkToFit="0" vertical="center" wrapText="1"/>
    </xf>
    <xf borderId="3" fillId="35" fontId="6" numFmtId="0" xfId="0" applyAlignment="1" applyBorder="1" applyFont="1">
      <alignment horizontal="center" readingOrder="0" shrinkToFit="0" vertical="center" wrapText="1"/>
    </xf>
    <xf borderId="3" fillId="3" fontId="1" numFmtId="0" xfId="0" applyAlignment="1" applyBorder="1" applyFont="1">
      <alignment horizontal="center" shrinkToFit="0" vertical="center" wrapText="1"/>
    </xf>
    <xf borderId="3" fillId="35" fontId="52" numFmtId="169" xfId="0" applyAlignment="1" applyBorder="1" applyFont="1" applyNumberFormat="1">
      <alignment horizontal="center" shrinkToFit="0" vertical="center" wrapText="1"/>
    </xf>
    <xf borderId="1" fillId="35" fontId="1" numFmtId="0" xfId="0" applyAlignment="1" applyBorder="1" applyFont="1">
      <alignment horizontal="center" shrinkToFit="0" vertical="center" wrapText="1"/>
    </xf>
    <xf borderId="3" fillId="36" fontId="10" numFmtId="0" xfId="0" applyAlignment="1" applyBorder="1" applyFill="1" applyFont="1">
      <alignment horizontal="center" readingOrder="0" shrinkToFit="0" vertical="center" wrapText="1"/>
    </xf>
    <xf borderId="3" fillId="3" fontId="22" numFmtId="0" xfId="0" applyAlignment="1" applyBorder="1" applyFont="1">
      <alignment horizontal="center" readingOrder="0" shrinkToFit="0" vertical="center" wrapText="1"/>
    </xf>
    <xf borderId="3" fillId="36" fontId="53" numFmtId="0" xfId="0" applyAlignment="1" applyBorder="1" applyFont="1">
      <alignment horizontal="center" shrinkToFit="0" vertical="center" wrapText="1"/>
    </xf>
    <xf borderId="3" fillId="36" fontId="1" numFmtId="0" xfId="0" applyAlignment="1" applyBorder="1" applyFont="1">
      <alignment horizontal="center" readingOrder="0" shrinkToFit="0" vertical="center" wrapText="1"/>
    </xf>
    <xf borderId="3" fillId="37" fontId="10" numFmtId="0" xfId="0" applyAlignment="1" applyBorder="1" applyFill="1" applyFont="1">
      <alignment horizontal="center" readingOrder="0" shrinkToFit="0" vertical="center" wrapText="1"/>
    </xf>
    <xf borderId="3" fillId="3" fontId="16" numFmtId="0" xfId="0" applyAlignment="1" applyBorder="1" applyFont="1">
      <alignment horizontal="center" readingOrder="0" shrinkToFit="0" vertical="center" wrapText="1"/>
    </xf>
    <xf borderId="3" fillId="37" fontId="12" numFmtId="1" xfId="0" applyAlignment="1" applyBorder="1" applyFont="1" applyNumberFormat="1">
      <alignment horizontal="center" readingOrder="0" shrinkToFit="0" vertical="center" wrapText="1"/>
    </xf>
    <xf borderId="18" fillId="0" fontId="10" numFmtId="0" xfId="0" applyAlignment="1" applyBorder="1" applyFont="1">
      <alignment horizontal="center" readingOrder="0" shrinkToFit="0" vertical="center" wrapText="1"/>
    </xf>
    <xf borderId="14" fillId="25" fontId="48" numFmtId="0" xfId="0" applyAlignment="1" applyBorder="1" applyFont="1">
      <alignment horizontal="center" readingOrder="0" shrinkToFit="0" vertical="center" wrapText="1"/>
    </xf>
    <xf borderId="3" fillId="34" fontId="1" numFmtId="0" xfId="0" applyAlignment="1" applyBorder="1" applyFont="1">
      <alignment horizontal="center" readingOrder="0" shrinkToFit="0" vertical="center" wrapText="1"/>
    </xf>
    <xf borderId="1" fillId="28" fontId="54" numFmtId="0" xfId="0" applyAlignment="1" applyBorder="1" applyFont="1">
      <alignment horizontal="center" readingOrder="0" shrinkToFit="0" vertical="center" wrapText="1"/>
    </xf>
    <xf borderId="1" fillId="12" fontId="13" numFmtId="0" xfId="0" applyAlignment="1" applyBorder="1" applyFont="1">
      <alignment horizontal="center" shrinkToFit="0" vertical="center" wrapText="1"/>
    </xf>
    <xf borderId="1" fillId="28" fontId="55" numFmtId="0" xfId="0" applyAlignment="1" applyBorder="1" applyFont="1">
      <alignment horizontal="center" readingOrder="0" shrinkToFit="0" vertical="center" wrapText="1"/>
    </xf>
    <xf borderId="4" fillId="3" fontId="1" numFmtId="0" xfId="0" applyAlignment="1" applyBorder="1" applyFont="1">
      <alignment horizontal="center" shrinkToFit="0" vertical="center" wrapText="1"/>
    </xf>
    <xf borderId="4" fillId="29" fontId="47" numFmtId="170" xfId="0" applyAlignment="1" applyBorder="1" applyFont="1" applyNumberFormat="1">
      <alignment horizontal="center" readingOrder="0" shrinkToFit="0" vertical="center" wrapText="1"/>
    </xf>
    <xf borderId="4" fillId="38" fontId="56" numFmtId="170" xfId="0" applyAlignment="1" applyBorder="1" applyFill="1" applyFont="1" applyNumberFormat="1">
      <alignment horizontal="center" readingOrder="0" shrinkToFit="0" vertical="center" wrapText="1"/>
    </xf>
    <xf borderId="3" fillId="34" fontId="7" numFmtId="0" xfId="0" applyAlignment="1" applyBorder="1" applyFont="1">
      <alignment horizontal="center" readingOrder="0" shrinkToFit="0" vertical="center" wrapText="1"/>
    </xf>
    <xf borderId="5" fillId="10" fontId="57" numFmtId="0" xfId="0" applyAlignment="1" applyBorder="1" applyFont="1">
      <alignment horizontal="center" readingOrder="0" shrinkToFit="0" vertical="center" wrapText="1"/>
    </xf>
    <xf borderId="1" fillId="10" fontId="13" numFmtId="0" xfId="0" applyAlignment="1" applyBorder="1" applyFont="1">
      <alignment horizontal="center" shrinkToFit="0" vertical="center" wrapText="1"/>
    </xf>
    <xf borderId="4" fillId="13" fontId="10" numFmtId="0" xfId="0" applyAlignment="1" applyBorder="1" applyFont="1">
      <alignment horizontal="center" readingOrder="0" shrinkToFit="0" vertical="center" wrapText="1"/>
    </xf>
    <xf borderId="4" fillId="13" fontId="16" numFmtId="0" xfId="0" applyAlignment="1" applyBorder="1" applyFont="1">
      <alignment horizontal="center" readingOrder="0" shrinkToFit="0" vertical="center" wrapText="1"/>
    </xf>
    <xf borderId="3" fillId="39" fontId="58" numFmtId="0" xfId="0" applyAlignment="1" applyBorder="1" applyFill="1" applyFont="1">
      <alignment horizontal="center" readingOrder="0" shrinkToFit="0" vertical="center" wrapText="1"/>
    </xf>
    <xf borderId="1" fillId="40" fontId="59" numFmtId="0" xfId="0" applyAlignment="1" applyBorder="1" applyFill="1" applyFont="1">
      <alignment horizontal="center" shrinkToFit="0" vertical="center" wrapText="1"/>
    </xf>
    <xf borderId="9" fillId="41" fontId="20" numFmtId="0" xfId="0" applyAlignment="1" applyBorder="1" applyFill="1" applyFont="1">
      <alignment horizontal="center" shrinkToFit="0" vertical="center" wrapText="1"/>
    </xf>
    <xf borderId="3" fillId="13" fontId="60" numFmtId="0" xfId="0" applyAlignment="1" applyBorder="1" applyFont="1">
      <alignment horizontal="center" readingOrder="0" shrinkToFit="0" vertical="center" wrapText="1"/>
    </xf>
    <xf borderId="3" fillId="42" fontId="60" numFmtId="0" xfId="0" applyAlignment="1" applyBorder="1" applyFill="1" applyFont="1">
      <alignment horizontal="center" shrinkToFit="0" vertical="center" wrapText="1"/>
    </xf>
    <xf borderId="3" fillId="40" fontId="59" numFmtId="0" xfId="0" applyAlignment="1" applyBorder="1" applyFont="1">
      <alignment horizontal="center" shrinkToFit="0" vertical="center" wrapText="1"/>
    </xf>
    <xf borderId="3" fillId="41" fontId="20" numFmtId="0" xfId="0" applyAlignment="1" applyBorder="1" applyFont="1">
      <alignment horizontal="center" shrinkToFit="0" vertical="center" wrapText="1"/>
    </xf>
    <xf borderId="0" fillId="13" fontId="28" numFmtId="0" xfId="0" applyAlignment="1" applyFont="1">
      <alignment horizontal="center" readingOrder="0" shrinkToFit="0" vertical="center" wrapText="1"/>
    </xf>
    <xf borderId="3" fillId="13" fontId="28" numFmtId="0" xfId="0" applyAlignment="1" applyBorder="1" applyFont="1">
      <alignment horizontal="center" readingOrder="0" shrinkToFit="0" vertical="center" wrapText="1"/>
    </xf>
  </cellXfs>
  <cellStyles count="1">
    <cellStyle xfId="0" name="Normal" builtinId="0"/>
  </cellStyles>
  <dxfs count="1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CCD9D4"/>
          <bgColor rgb="FFCCD9D4"/>
        </patternFill>
      </fill>
      <border/>
    </dxf>
    <dxf>
      <border>
        <left style="thin">
          <color rgb="FF356854"/>
        </left>
        <right style="thin">
          <color rgb="FF356854"/>
        </right>
        <top style="thin">
          <color rgb="FF356854"/>
        </top>
        <bottom style="thin">
          <color rgb="FF356854"/>
        </bottom>
      </border>
    </dxf>
    <dxf>
      <font/>
      <fill>
        <patternFill patternType="solid">
          <fgColor rgb="FF535FC1"/>
          <bgColor rgb="FF535FC1"/>
        </patternFill>
      </fill>
      <border/>
    </dxf>
    <dxf>
      <font/>
      <fill>
        <patternFill patternType="solid">
          <fgColor rgb="FFBB463C"/>
          <bgColor rgb="FFBB463C"/>
        </patternFill>
      </fill>
      <border/>
    </dxf>
    <dxf>
      <font/>
      <fill>
        <patternFill patternType="solid">
          <fgColor rgb="FF9B3642"/>
          <bgColor rgb="FF9B3642"/>
        </patternFill>
      </fill>
      <border/>
    </dxf>
    <dxf>
      <font/>
      <fill>
        <patternFill patternType="solid">
          <fgColor rgb="FF5B3F86"/>
          <bgColor rgb="FF5B3F86"/>
        </patternFill>
      </fill>
      <border/>
    </dxf>
    <dxf>
      <font/>
      <fill>
        <patternFill patternType="solid">
          <fgColor rgb="FF4A568D"/>
          <bgColor rgb="FF4A568D"/>
        </patternFill>
      </fill>
      <border/>
    </dxf>
    <dxf>
      <font/>
      <fill>
        <patternFill patternType="solid">
          <fgColor rgb="FF373F6B"/>
          <bgColor rgb="FF373F6B"/>
        </patternFill>
      </fill>
      <border/>
    </dxf>
    <dxf>
      <font/>
      <fill>
        <patternFill patternType="solid">
          <fgColor rgb="FF49564C"/>
          <bgColor rgb="FF49564C"/>
        </patternFill>
      </fill>
      <border/>
    </dxf>
    <dxf>
      <font/>
      <fill>
        <patternFill patternType="solid">
          <fgColor rgb="FF626E7A"/>
          <bgColor rgb="FF626E7A"/>
        </patternFill>
      </fill>
      <border/>
    </dxf>
  </dxfs>
  <tableStyles count="28">
    <tableStyle count="5" pivot="0" name="Fueling-style">
      <tableStyleElement dxfId="1" type="headerRow"/>
      <tableStyleElement dxfId="2" type="firstRowStripe"/>
      <tableStyleElement dxfId="3" type="secondRowStripe"/>
      <tableStyleElement dxfId="4" type="totalRow"/>
      <tableStyleElement dxfId="5" size="0" type="wholeTable"/>
    </tableStyle>
    <tableStyle count="3" pivot="0" name="Fueling-style 2">
      <tableStyleElement dxfId="1" type="headerRow"/>
      <tableStyleElement dxfId="2" type="firstRowStripe"/>
      <tableStyleElement dxfId="3" type="secondRowStripe"/>
    </tableStyle>
    <tableStyle count="4" pivot="0" name="Fueling-style 3">
      <tableStyleElement dxfId="6" type="headerRow"/>
      <tableStyleElement dxfId="2" type="firstRowStripe"/>
      <tableStyleElement dxfId="3" type="secondRowStripe"/>
      <tableStyleElement dxfId="5" size="0" type="wholeTable"/>
    </tableStyle>
    <tableStyle count="3" pivot="0" name="Fueling-style 4">
      <tableStyleElement dxfId="1" type="headerRow"/>
      <tableStyleElement dxfId="2" type="firstRowStripe"/>
      <tableStyleElement dxfId="3" type="secondRowStripe"/>
    </tableStyle>
    <tableStyle count="4" pivot="0" name="Fueling-style 5">
      <tableStyleElement dxfId="7" type="headerRow"/>
      <tableStyleElement dxfId="2" type="firstRowStripe"/>
      <tableStyleElement dxfId="3" type="secondRowStripe"/>
      <tableStyleElement dxfId="5" size="0" type="wholeTable"/>
    </tableStyle>
    <tableStyle count="3" pivot="0" name="Fueling-style 6">
      <tableStyleElement dxfId="1" type="headerRow"/>
      <tableStyleElement dxfId="2" type="firstRowStripe"/>
      <tableStyleElement dxfId="3" type="secondRowStripe"/>
    </tableStyle>
    <tableStyle count="4" pivot="0" name="Fueling-style 7">
      <tableStyleElement dxfId="8" type="headerRow"/>
      <tableStyleElement dxfId="2" type="firstRowStripe"/>
      <tableStyleElement dxfId="3" type="secondRowStripe"/>
      <tableStyleElement dxfId="5" size="0" type="wholeTable"/>
    </tableStyle>
    <tableStyle count="3" pivot="0" name="Fueling-style 8">
      <tableStyleElement dxfId="1" type="headerRow"/>
      <tableStyleElement dxfId="2" type="firstRowStripe"/>
      <tableStyleElement dxfId="3" type="secondRowStripe"/>
    </tableStyle>
    <tableStyle count="4" pivot="0" name="Fueling-style 9">
      <tableStyleElement dxfId="9" type="headerRow"/>
      <tableStyleElement dxfId="2" type="firstRowStripe"/>
      <tableStyleElement dxfId="3" type="secondRowStripe"/>
      <tableStyleElement dxfId="5" size="0" type="wholeTable"/>
    </tableStyle>
    <tableStyle count="3" pivot="0" name="Fueling-style 10">
      <tableStyleElement dxfId="1" type="headerRow"/>
      <tableStyleElement dxfId="2" type="firstRowStripe"/>
      <tableStyleElement dxfId="3" type="secondRowStripe"/>
    </tableStyle>
    <tableStyle count="4" pivot="0" name="Fueling-style 11">
      <tableStyleElement dxfId="10" type="headerRow"/>
      <tableStyleElement dxfId="2" type="firstRowStripe"/>
      <tableStyleElement dxfId="3" type="secondRowStripe"/>
      <tableStyleElement dxfId="5" size="0" type="wholeTable"/>
    </tableStyle>
    <tableStyle count="3" pivot="0" name="Fueling-style 12">
      <tableStyleElement dxfId="1" type="headerRow"/>
      <tableStyleElement dxfId="2" type="firstRowStripe"/>
      <tableStyleElement dxfId="3" type="secondRowStripe"/>
    </tableStyle>
    <tableStyle count="4" pivot="0" name="Fueling-style 13">
      <tableStyleElement dxfId="11" type="headerRow"/>
      <tableStyleElement dxfId="2" type="firstRowStripe"/>
      <tableStyleElement dxfId="3" type="secondRowStripe"/>
      <tableStyleElement dxfId="5" size="0" type="wholeTable"/>
    </tableStyle>
    <tableStyle count="3" pivot="0" name="Fueling-style 14">
      <tableStyleElement dxfId="1" type="headerRow"/>
      <tableStyleElement dxfId="2" type="firstRowStripe"/>
      <tableStyleElement dxfId="3" type="secondRowStripe"/>
    </tableStyle>
    <tableStyle count="4" pivot="0" name="Fueling-style 15">
      <tableStyleElement dxfId="12" type="headerRow"/>
      <tableStyleElement dxfId="2" type="firstRowStripe"/>
      <tableStyleElement dxfId="3" type="secondRowStripe"/>
      <tableStyleElement dxfId="5" size="0" type="wholeTable"/>
    </tableStyle>
    <tableStyle count="3" pivot="0" name="Fueling-style 16">
      <tableStyleElement dxfId="1" type="headerRow"/>
      <tableStyleElement dxfId="2" type="firstRowStripe"/>
      <tableStyleElement dxfId="3" type="secondRowStripe"/>
    </tableStyle>
    <tableStyle count="4" pivot="0" name="Fueling-style 17">
      <tableStyleElement dxfId="13" type="headerRow"/>
      <tableStyleElement dxfId="2" type="firstRowStripe"/>
      <tableStyleElement dxfId="3" type="secondRowStripe"/>
      <tableStyleElement dxfId="5" size="0" type="wholeTable"/>
    </tableStyle>
    <tableStyle count="3" pivot="0" name="Fueling-style 18">
      <tableStyleElement dxfId="1" type="headerRow"/>
      <tableStyleElement dxfId="2" type="firstRowStripe"/>
      <tableStyleElement dxfId="3" type="secondRowStripe"/>
    </tableStyle>
    <tableStyle count="4" pivot="0" name="Fueling-style 19">
      <tableStyleElement dxfId="1" type="headerRow"/>
      <tableStyleElement dxfId="2" type="firstRowStripe"/>
      <tableStyleElement dxfId="3" type="secondRowStripe"/>
      <tableStyleElement dxfId="5" size="0" type="wholeTable"/>
    </tableStyle>
    <tableStyle count="3" pivot="0" name="Fueling-style 20">
      <tableStyleElement dxfId="1" type="headerRow"/>
      <tableStyleElement dxfId="2" type="firstRowStripe"/>
      <tableStyleElement dxfId="3" type="secondRowStripe"/>
    </tableStyle>
    <tableStyle count="4" pivot="0" name="Fueling-style 21">
      <tableStyleElement dxfId="6" type="headerRow"/>
      <tableStyleElement dxfId="2" type="firstRowStripe"/>
      <tableStyleElement dxfId="3" type="secondRowStripe"/>
      <tableStyleElement dxfId="5" size="0" type="wholeTable"/>
    </tableStyle>
    <tableStyle count="3" pivot="0" name="Fueling-style 22">
      <tableStyleElement dxfId="1" type="headerRow"/>
      <tableStyleElement dxfId="2" type="firstRowStripe"/>
      <tableStyleElement dxfId="3" type="secondRowStripe"/>
    </tableStyle>
    <tableStyle count="4" pivot="0" name="Fueling-style 23">
      <tableStyleElement dxfId="7" type="headerRow"/>
      <tableStyleElement dxfId="2" type="firstRowStripe"/>
      <tableStyleElement dxfId="3" type="secondRowStripe"/>
      <tableStyleElement dxfId="5" size="0" type="wholeTable"/>
    </tableStyle>
    <tableStyle count="3" pivot="0" name="Fueling-style 24">
      <tableStyleElement dxfId="1" type="headerRow"/>
      <tableStyleElement dxfId="2" type="firstRowStripe"/>
      <tableStyleElement dxfId="3" type="secondRowStripe"/>
    </tableStyle>
    <tableStyle count="4" pivot="0" name="Fueling-style 25">
      <tableStyleElement dxfId="8" type="headerRow"/>
      <tableStyleElement dxfId="2" type="firstRowStripe"/>
      <tableStyleElement dxfId="3" type="secondRowStripe"/>
      <tableStyleElement dxfId="5" size="0" type="wholeTable"/>
    </tableStyle>
    <tableStyle count="3" pivot="0" name="Fueling-style 26">
      <tableStyleElement dxfId="1" type="headerRow"/>
      <tableStyleElement dxfId="2" type="firstRowStripe"/>
      <tableStyleElement dxfId="3" type="secondRowStripe"/>
    </tableStyle>
    <tableStyle count="4" pivot="0" name="Fueling-style 27">
      <tableStyleElement dxfId="9" type="headerRow"/>
      <tableStyleElement dxfId="2" type="firstRowStripe"/>
      <tableStyleElement dxfId="3" type="secondRowStripe"/>
      <tableStyleElement dxfId="5" size="0" type="wholeTable"/>
    </tableStyle>
    <tableStyle count="3" pivot="0" name="Fueling-style 28">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0</xdr:row>
      <xdr:rowOff>0</xdr:rowOff>
    </xdr:from>
    <xdr:ext cx="523875"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0</xdr:row>
      <xdr:rowOff>0</xdr:rowOff>
    </xdr:from>
    <xdr:ext cx="523875"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0</xdr:row>
      <xdr:rowOff>0</xdr:rowOff>
    </xdr:from>
    <xdr:ext cx="523875"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0</xdr:row>
      <xdr:rowOff>0</xdr:rowOff>
    </xdr:from>
    <xdr:ext cx="523875"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0</xdr:row>
      <xdr:rowOff>0</xdr:rowOff>
    </xdr:from>
    <xdr:ext cx="523875"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0</xdr:row>
      <xdr:rowOff>0</xdr:rowOff>
    </xdr:from>
    <xdr:ext cx="523875"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0</xdr:row>
      <xdr:rowOff>0</xdr:rowOff>
    </xdr:from>
    <xdr:ext cx="523875"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0</xdr:row>
      <xdr:rowOff>0</xdr:rowOff>
    </xdr:from>
    <xdr:ext cx="523875"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0</xdr:row>
      <xdr:rowOff>0</xdr:rowOff>
    </xdr:from>
    <xdr:ext cx="523875"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0</xdr:row>
      <xdr:rowOff>0</xdr:rowOff>
    </xdr:from>
    <xdr:ext cx="523875"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0</xdr:row>
      <xdr:rowOff>0</xdr:rowOff>
    </xdr:from>
    <xdr:ext cx="523875"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0</xdr:row>
      <xdr:rowOff>0</xdr:rowOff>
    </xdr:from>
    <xdr:ext cx="523875"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totalsRowCount="1" ref="A3:I21" displayName="MFT_1_2" name="MFT_1_2" id="1">
  <tableColumns count="9">
    <tableColumn name="Time" id="1"/>
    <tableColumn name="Fuel" id="2"/>
    <tableColumn name="Caffeine" id="3"/>
    <tableColumn name="Sodium (mg)" id="4"/>
    <tableColumn name="Carbs (g)" id="5"/>
    <tableColumn totalsRowFunction="custom" name="Cumulative Carbs (g)" id="6"/>
    <tableColumn name="Carbs/ hr" id="7"/>
    <tableColumn name="How it went" id="8"/>
    <tableColumn name="Notes" id="9"/>
  </tableColumns>
  <tableStyleInfo name="Fueling-style" showColumnStripes="0" showFirstColumn="1" showLastColumn="1" showRowStripes="1"/>
</table>
</file>

<file path=xl/tables/table2.xml><?xml version="1.0" encoding="utf-8"?>
<table xmlns="http://schemas.openxmlformats.org/spreadsheetml/2006/main" ref="K3:S21" displayName="Table_1" name="Table_1" id="2">
  <tableColumns count="9">
    <tableColumn name="Time" id="1"/>
    <tableColumn name="Fuel" id="2"/>
    <tableColumn name="Caffeine" id="3"/>
    <tableColumn name="Sodium (mg)" id="4"/>
    <tableColumn name="Carbs (g)" id="5"/>
    <tableColumn name="Cumulative Carbs (g)" id="6"/>
    <tableColumn name="Carbs/ hr" id="7"/>
    <tableColumn name="How it went" id="8"/>
    <tableColumn name="Notes" id="9"/>
  </tableColumns>
  <tableStyleInfo name="Fueling-style 2" showColumnStripes="0" showFirstColumn="1" showLastColumn="1" showRowStripes="1"/>
</table>
</file>

<file path=xl/tables/table3.xml><?xml version="1.0" encoding="utf-8"?>
<table xmlns="http://schemas.openxmlformats.org/spreadsheetml/2006/main" ref="A25:I43" displayName="MFT_2_2" name="MFT_2_2" id="3">
  <tableColumns count="9">
    <tableColumn name="Time" id="1"/>
    <tableColumn name="Fuel" id="2"/>
    <tableColumn name="Caffeine" id="3"/>
    <tableColumn name="Sodium (mg)" id="4"/>
    <tableColumn name="Carbs (g)" id="5"/>
    <tableColumn name="Cumulative Carbs (g)" id="6"/>
    <tableColumn name="Carbs/ hr" id="7"/>
    <tableColumn name="How it went" id="8"/>
    <tableColumn name="Notes" id="9"/>
  </tableColumns>
  <tableStyleInfo name="Fueling-style 3" showColumnStripes="0" showFirstColumn="1" showLastColumn="1" showRowStripes="1"/>
</table>
</file>

<file path=xl/tables/table4.xml><?xml version="1.0" encoding="utf-8"?>
<table xmlns="http://schemas.openxmlformats.org/spreadsheetml/2006/main" ref="K25:S43" displayName="Table_2" name="Table_2" id="4">
  <tableColumns count="9">
    <tableColumn name="Time" id="1"/>
    <tableColumn name="Fuel" id="2"/>
    <tableColumn name="Caffeine" id="3"/>
    <tableColumn name="Sodium (mg)" id="4"/>
    <tableColumn name="Carbs (g)" id="5"/>
    <tableColumn name="Cumulative Carbs (g)" id="6"/>
    <tableColumn name="Carbs/ hr" id="7"/>
    <tableColumn name="How it went" id="8"/>
    <tableColumn name="Notes" id="9"/>
  </tableColumns>
  <tableStyleInfo name="Fueling-style 4" showColumnStripes="0" showFirstColumn="1" showLastColumn="1" showRowStripes="1"/>
</table>
</file>

<file path=xl/tables/table5.xml><?xml version="1.0" encoding="utf-8"?>
<table xmlns="http://schemas.openxmlformats.org/spreadsheetml/2006/main" ref="A47:I65" displayName="MFT_3_2" name="MFT_3_2" id="5">
  <tableColumns count="9">
    <tableColumn name="Time" id="1"/>
    <tableColumn name="Fuel" id="2"/>
    <tableColumn name="Caffeine" id="3"/>
    <tableColumn name="Sodium (mg)" id="4"/>
    <tableColumn name="Carbs (g)" id="5"/>
    <tableColumn name="Cumulative Carbs (g)" id="6"/>
    <tableColumn name="Carbs/ hr" id="7"/>
    <tableColumn name="How it went" id="8"/>
    <tableColumn name="Notes" id="9"/>
  </tableColumns>
  <tableStyleInfo name="Fueling-style 5" showColumnStripes="0" showFirstColumn="1" showLastColumn="1" showRowStripes="1"/>
</table>
</file>

<file path=xl/tables/table6.xml><?xml version="1.0" encoding="utf-8"?>
<table xmlns="http://schemas.openxmlformats.org/spreadsheetml/2006/main" ref="K47:S65" displayName="Table_3" name="Table_3" id="6">
  <tableColumns count="9">
    <tableColumn name="Time" id="1"/>
    <tableColumn name="Fuel" id="2"/>
    <tableColumn name="Caffeine" id="3"/>
    <tableColumn name="Sodium (mg)" id="4"/>
    <tableColumn name="Carbs (g)" id="5"/>
    <tableColumn name="Cumulative Carbs (g)" id="6"/>
    <tableColumn name="Carbs/ hr" id="7"/>
    <tableColumn name="How it went" id="8"/>
    <tableColumn name="Notes" id="9"/>
  </tableColumns>
  <tableStyleInfo name="Fueling-style 6" showColumnStripes="0" showFirstColumn="1" showLastColumn="1" showRowStripes="1"/>
</table>
</file>

<file path=xl/tables/table7.xml><?xml version="1.0" encoding="utf-8"?>
<table xmlns="http://schemas.openxmlformats.org/spreadsheetml/2006/main" ref="A69:I87" displayName="MFT_4_2" name="MFT_4_2" id="7">
  <tableColumns count="9">
    <tableColumn name="Time" id="1"/>
    <tableColumn name="Fuel" id="2"/>
    <tableColumn name="Caffeine" id="3"/>
    <tableColumn name="Sodium (mg)" id="4"/>
    <tableColumn name="Carbs (g)" id="5"/>
    <tableColumn name="Cumulative Carbs (g)" id="6"/>
    <tableColumn name="Carbs/ hr" id="7"/>
    <tableColumn name="How it went" id="8"/>
    <tableColumn name="Notes" id="9"/>
  </tableColumns>
  <tableStyleInfo name="Fueling-style 7" showColumnStripes="0" showFirstColumn="1" showLastColumn="1" showRowStripes="1"/>
</table>
</file>

<file path=xl/tables/table8.xml><?xml version="1.0" encoding="utf-8"?>
<table xmlns="http://schemas.openxmlformats.org/spreadsheetml/2006/main" ref="K69:S87" displayName="Table_4" name="Table_4" id="8">
  <tableColumns count="9">
    <tableColumn name="Time" id="1"/>
    <tableColumn name="Fuel" id="2"/>
    <tableColumn name="Caffeine" id="3"/>
    <tableColumn name="Sodium (mg)" id="4"/>
    <tableColumn name="Carbs (g)" id="5"/>
    <tableColumn name="Cumulative Carbs (g)" id="6"/>
    <tableColumn name="Carbs/ hr" id="7"/>
    <tableColumn name="How it went" id="8"/>
    <tableColumn name="Notes" id="9"/>
  </tableColumns>
  <tableStyleInfo name="Fueling-style 8" showColumnStripes="0" showFirstColumn="1" showLastColumn="1" showRowStripes="1"/>
</table>
</file>

<file path=xl/tables/table9.xml><?xml version="1.0" encoding="utf-8"?>
<table xmlns="http://schemas.openxmlformats.org/spreadsheetml/2006/main" ref="A91:I109" displayName="MFT_5_2" name="MFT_5_2" id="9">
  <tableColumns count="9">
    <tableColumn name="Time" id="1"/>
    <tableColumn name="Fuel" id="2"/>
    <tableColumn name="Caffeine" id="3"/>
    <tableColumn name="Sodium (mg)" id="4"/>
    <tableColumn name="Carbs (g)" id="5"/>
    <tableColumn name="Cumulative Carbs (g)" id="6"/>
    <tableColumn name="Carbs/ hr" id="7"/>
    <tableColumn name="How it went" id="8"/>
    <tableColumn name="Notes" id="9"/>
  </tableColumns>
  <tableStyleInfo name="Fueling-style 9" showColumnStripes="0" showFirstColumn="1" showLastColumn="1" showRowStripes="1"/>
</table>
</file>

<file path=xl/tables/table10.xml><?xml version="1.0" encoding="utf-8"?>
<table xmlns="http://schemas.openxmlformats.org/spreadsheetml/2006/main" ref="K91:S109" displayName="Table_5" name="Table_5" id="10">
  <tableColumns count="9">
    <tableColumn name="Time" id="1"/>
    <tableColumn name="Fuel" id="2"/>
    <tableColumn name="Caffeine" id="3"/>
    <tableColumn name="Sodium (mg)" id="4"/>
    <tableColumn name="Carbs (g)" id="5"/>
    <tableColumn name="Cumulative Carbs (g)" id="6"/>
    <tableColumn name="Carbs/ hr" id="7"/>
    <tableColumn name="How it went" id="8"/>
    <tableColumn name="Notes" id="9"/>
  </tableColumns>
  <tableStyleInfo name="Fueling-style 10" showColumnStripes="0" showFirstColumn="1" showLastColumn="1" showRowStripes="1"/>
</table>
</file>

<file path=xl/tables/table11.xml><?xml version="1.0" encoding="utf-8"?>
<table xmlns="http://schemas.openxmlformats.org/spreadsheetml/2006/main" ref="A113:I131" displayName="MFT_6_2" name="MFT_6_2" id="11">
  <tableColumns count="9">
    <tableColumn name="Time" id="1"/>
    <tableColumn name="Fuel" id="2"/>
    <tableColumn name="Caffeine" id="3"/>
    <tableColumn name="Sodium (mg)" id="4"/>
    <tableColumn name="Carbs (g)" id="5"/>
    <tableColumn name="Cumulative Carbs (g)" id="6"/>
    <tableColumn name="Carbs/ hr" id="7"/>
    <tableColumn name="How it went" id="8"/>
    <tableColumn name="Notes" id="9"/>
  </tableColumns>
  <tableStyleInfo name="Fueling-style 11" showColumnStripes="0" showFirstColumn="1" showLastColumn="1" showRowStripes="1"/>
</table>
</file>

<file path=xl/tables/table12.xml><?xml version="1.0" encoding="utf-8"?>
<table xmlns="http://schemas.openxmlformats.org/spreadsheetml/2006/main" ref="K113:S131" displayName="Table_6" name="Table_6" id="12">
  <tableColumns count="9">
    <tableColumn name="Time" id="1"/>
    <tableColumn name="Fuel" id="2"/>
    <tableColumn name="Caffeine" id="3"/>
    <tableColumn name="Sodium (mg)" id="4"/>
    <tableColumn name="Carbs (g)" id="5"/>
    <tableColumn name="Cumulative Carbs (g)" id="6"/>
    <tableColumn name="Carbs/ hr" id="7"/>
    <tableColumn name="How it went" id="8"/>
    <tableColumn name="Notes" id="9"/>
  </tableColumns>
  <tableStyleInfo name="Fueling-style 12" showColumnStripes="0" showFirstColumn="1" showLastColumn="1" showRowStripes="1"/>
</table>
</file>

<file path=xl/tables/table13.xml><?xml version="1.0" encoding="utf-8"?>
<table xmlns="http://schemas.openxmlformats.org/spreadsheetml/2006/main" ref="A135:I153" displayName="MFT_7_2" name="MFT_7_2" id="13">
  <tableColumns count="9">
    <tableColumn name="Time" id="1"/>
    <tableColumn name="Fuel" id="2"/>
    <tableColumn name="Caffeine" id="3"/>
    <tableColumn name="Sodium (mg)" id="4"/>
    <tableColumn name="Carbs (g)" id="5"/>
    <tableColumn name="Cumulative Carbs (g)" id="6"/>
    <tableColumn name="Carbs/ hr" id="7"/>
    <tableColumn name="How it went" id="8"/>
    <tableColumn name="Notes" id="9"/>
  </tableColumns>
  <tableStyleInfo name="Fueling-style 13" showColumnStripes="0" showFirstColumn="1" showLastColumn="1" showRowStripes="1"/>
</table>
</file>

<file path=xl/tables/table14.xml><?xml version="1.0" encoding="utf-8"?>
<table xmlns="http://schemas.openxmlformats.org/spreadsheetml/2006/main" ref="K135:S153" displayName="Table_7" name="Table_7" id="14">
  <tableColumns count="9">
    <tableColumn name="Time" id="1"/>
    <tableColumn name="Fuel" id="2"/>
    <tableColumn name="Caffeine" id="3"/>
    <tableColumn name="Sodium (mg)" id="4"/>
    <tableColumn name="Carbs (g)" id="5"/>
    <tableColumn name="Cumulative Carbs (g)" id="6"/>
    <tableColumn name="Carbs/ hr" id="7"/>
    <tableColumn name="How it went" id="8"/>
    <tableColumn name="Notes" id="9"/>
  </tableColumns>
  <tableStyleInfo name="Fueling-style 14" showColumnStripes="0" showFirstColumn="1" showLastColumn="1" showRowStripes="1"/>
</table>
</file>

<file path=xl/tables/table15.xml><?xml version="1.0" encoding="utf-8"?>
<table xmlns="http://schemas.openxmlformats.org/spreadsheetml/2006/main" ref="A157:I175" displayName="MFT_8_2" name="MFT_8_2" id="15">
  <tableColumns count="9">
    <tableColumn name="Time" id="1"/>
    <tableColumn name="Fuel" id="2"/>
    <tableColumn name="Caffeine" id="3"/>
    <tableColumn name="Sodium (mg)" id="4"/>
    <tableColumn name="Carbs (g)" id="5"/>
    <tableColumn name="Cumulative Carbs (g)" id="6"/>
    <tableColumn name="Carbs/ hr" id="7"/>
    <tableColumn name="How it went" id="8"/>
    <tableColumn name="Notes" id="9"/>
  </tableColumns>
  <tableStyleInfo name="Fueling-style 15" showColumnStripes="0" showFirstColumn="1" showLastColumn="1" showRowStripes="1"/>
</table>
</file>

<file path=xl/tables/table16.xml><?xml version="1.0" encoding="utf-8"?>
<table xmlns="http://schemas.openxmlformats.org/spreadsheetml/2006/main" ref="K157:S175" displayName="Table_8" name="Table_8" id="16">
  <tableColumns count="9">
    <tableColumn name="Time" id="1"/>
    <tableColumn name="Fuel" id="2"/>
    <tableColumn name="Caffeine" id="3"/>
    <tableColumn name="Sodium (mg)" id="4"/>
    <tableColumn name="Carbs (g)" id="5"/>
    <tableColumn name="Cumulative Carbs (g)" id="6"/>
    <tableColumn name="Carbs/ hr" id="7"/>
    <tableColumn name="How it went" id="8"/>
    <tableColumn name="Notes" id="9"/>
  </tableColumns>
  <tableStyleInfo name="Fueling-style 16" showColumnStripes="0" showFirstColumn="1" showLastColumn="1" showRowStripes="1"/>
</table>
</file>

<file path=xl/tables/table17.xml><?xml version="1.0" encoding="utf-8"?>
<table xmlns="http://schemas.openxmlformats.org/spreadsheetml/2006/main" ref="A179:I197" displayName="MFT_9_2" name="MFT_9_2" id="17">
  <tableColumns count="9">
    <tableColumn name="Time" id="1"/>
    <tableColumn name="Fuel" id="2"/>
    <tableColumn name="Caffeine" id="3"/>
    <tableColumn name="Sodium (mg)" id="4"/>
    <tableColumn name="Carbs (g)" id="5"/>
    <tableColumn name="Cumulative Carbs (g)" id="6"/>
    <tableColumn name="Carbs/ hr" id="7"/>
    <tableColumn name="How it went" id="8"/>
    <tableColumn name="Notes" id="9"/>
  </tableColumns>
  <tableStyleInfo name="Fueling-style 17" showColumnStripes="0" showFirstColumn="1" showLastColumn="1" showRowStripes="1"/>
</table>
</file>

<file path=xl/tables/table18.xml><?xml version="1.0" encoding="utf-8"?>
<table xmlns="http://schemas.openxmlformats.org/spreadsheetml/2006/main" ref="K179:S197" displayName="Table_9" name="Table_9" id="18">
  <tableColumns count="9">
    <tableColumn name="Time" id="1"/>
    <tableColumn name="Fuel" id="2"/>
    <tableColumn name="Caffeine" id="3"/>
    <tableColumn name="Sodium (mg)" id="4"/>
    <tableColumn name="Carbs (g)" id="5"/>
    <tableColumn name="Cumulative Carbs (g)" id="6"/>
    <tableColumn name="Carbs/ hr" id="7"/>
    <tableColumn name="How it went" id="8"/>
    <tableColumn name="Notes" id="9"/>
  </tableColumns>
  <tableStyleInfo name="Fueling-style 18" showColumnStripes="0" showFirstColumn="1" showLastColumn="1" showRowStripes="1"/>
</table>
</file>

<file path=xl/tables/table19.xml><?xml version="1.0" encoding="utf-8"?>
<table xmlns="http://schemas.openxmlformats.org/spreadsheetml/2006/main" ref="A201:I219" displayName="MFT_10_2" name="MFT_10_2" id="19">
  <tableColumns count="9">
    <tableColumn name="Time" id="1"/>
    <tableColumn name="Fuel" id="2"/>
    <tableColumn name="Caffeine" id="3"/>
    <tableColumn name="Sodium (mg)" id="4"/>
    <tableColumn name="Carbs (g)" id="5"/>
    <tableColumn name="Cumulative Carbs (g)" id="6"/>
    <tableColumn name="Carbs/ hr" id="7"/>
    <tableColumn name="How it went" id="8"/>
    <tableColumn name="Notes" id="9"/>
  </tableColumns>
  <tableStyleInfo name="Fueling-style 19" showColumnStripes="0" showFirstColumn="1" showLastColumn="1" showRowStripes="1"/>
</table>
</file>

<file path=xl/tables/table20.xml><?xml version="1.0" encoding="utf-8"?>
<table xmlns="http://schemas.openxmlformats.org/spreadsheetml/2006/main" ref="K201:S219" displayName="Table_10" name="Table_10" id="20">
  <tableColumns count="9">
    <tableColumn name="Time" id="1"/>
    <tableColumn name="Fuel" id="2"/>
    <tableColumn name="Caffeine" id="3"/>
    <tableColumn name="Sodium (mg)" id="4"/>
    <tableColumn name="Carbs (g)" id="5"/>
    <tableColumn name="Cumulative Carbs (g)" id="6"/>
    <tableColumn name="Carbs/ hr" id="7"/>
    <tableColumn name="How it went" id="8"/>
    <tableColumn name="Notes" id="9"/>
  </tableColumns>
  <tableStyleInfo name="Fueling-style 20" showColumnStripes="0" showFirstColumn="1" showLastColumn="1" showRowStripes="1"/>
</table>
</file>

<file path=xl/tables/table21.xml><?xml version="1.0" encoding="utf-8"?>
<table xmlns="http://schemas.openxmlformats.org/spreadsheetml/2006/main" ref="A223:I241" displayName="MFT_11_2" name="MFT_11_2" id="21">
  <tableColumns count="9">
    <tableColumn name="Time" id="1"/>
    <tableColumn name="Fuel" id="2"/>
    <tableColumn name="Caffeine" id="3"/>
    <tableColumn name="Sodium (mg)" id="4"/>
    <tableColumn name="Carbs (g)" id="5"/>
    <tableColumn name="Cumulative Carbs (g)" id="6"/>
    <tableColumn name="Carbs/ hr" id="7"/>
    <tableColumn name="How it went" id="8"/>
    <tableColumn name="Notes" id="9"/>
  </tableColumns>
  <tableStyleInfo name="Fueling-style 21" showColumnStripes="0" showFirstColumn="1" showLastColumn="1" showRowStripes="1"/>
</table>
</file>

<file path=xl/tables/table22.xml><?xml version="1.0" encoding="utf-8"?>
<table xmlns="http://schemas.openxmlformats.org/spreadsheetml/2006/main" ref="K223:S241" displayName="Table_11" name="Table_11" id="22">
  <tableColumns count="9">
    <tableColumn name="Time" id="1"/>
    <tableColumn name="Fuel" id="2"/>
    <tableColumn name="Caffeine" id="3"/>
    <tableColumn name="Sodium (mg)" id="4"/>
    <tableColumn name="Carbs (g)" id="5"/>
    <tableColumn name="Cumulative Carbs (g)" id="6"/>
    <tableColumn name="Carbs/ hr" id="7"/>
    <tableColumn name="How it went" id="8"/>
    <tableColumn name="Notes" id="9"/>
  </tableColumns>
  <tableStyleInfo name="Fueling-style 22" showColumnStripes="0" showFirstColumn="1" showLastColumn="1" showRowStripes="1"/>
</table>
</file>

<file path=xl/tables/table23.xml><?xml version="1.0" encoding="utf-8"?>
<table xmlns="http://schemas.openxmlformats.org/spreadsheetml/2006/main" ref="A245:I263" displayName="MFT_12_2" name="MFT_12_2" id="23">
  <tableColumns count="9">
    <tableColumn name="Time" id="1"/>
    <tableColumn name="Fuel" id="2"/>
    <tableColumn name="Caffeine" id="3"/>
    <tableColumn name="Sodium (mg)" id="4"/>
    <tableColumn name="Carbs (g)" id="5"/>
    <tableColumn name="Cumulative Carbs (g)" id="6"/>
    <tableColumn name="Carbs/ hr" id="7"/>
    <tableColumn name="How it went" id="8"/>
    <tableColumn name="Notes" id="9"/>
  </tableColumns>
  <tableStyleInfo name="Fueling-style 23" showColumnStripes="0" showFirstColumn="1" showLastColumn="1" showRowStripes="1"/>
</table>
</file>

<file path=xl/tables/table24.xml><?xml version="1.0" encoding="utf-8"?>
<table xmlns="http://schemas.openxmlformats.org/spreadsheetml/2006/main" ref="K245:S263" displayName="Table_12" name="Table_12" id="24">
  <tableColumns count="9">
    <tableColumn name="Time" id="1"/>
    <tableColumn name="Fuel" id="2"/>
    <tableColumn name="Caffeine" id="3"/>
    <tableColumn name="Sodium (mg)" id="4"/>
    <tableColumn name="Carbs (g)" id="5"/>
    <tableColumn name="Cumulative Carbs (g)" id="6"/>
    <tableColumn name="Carbs/ hr" id="7"/>
    <tableColumn name="How it went" id="8"/>
    <tableColumn name="Notes" id="9"/>
  </tableColumns>
  <tableStyleInfo name="Fueling-style 24" showColumnStripes="0" showFirstColumn="1" showLastColumn="1" showRowStripes="1"/>
</table>
</file>

<file path=xl/tables/table25.xml><?xml version="1.0" encoding="utf-8"?>
<table xmlns="http://schemas.openxmlformats.org/spreadsheetml/2006/main" ref="A267:I285" displayName="MFT_13_2" name="MFT_13_2" id="25">
  <tableColumns count="9">
    <tableColumn name="Time" id="1"/>
    <tableColumn name="Fuel" id="2"/>
    <tableColumn name="Caffeine" id="3"/>
    <tableColumn name="Sodium (mg)" id="4"/>
    <tableColumn name="Carbs (g)" id="5"/>
    <tableColumn name="Cumulative Carbs (g)" id="6"/>
    <tableColumn name="Carbs/ hr" id="7"/>
    <tableColumn name="How it went" id="8"/>
    <tableColumn name="Notes" id="9"/>
  </tableColumns>
  <tableStyleInfo name="Fueling-style 25" showColumnStripes="0" showFirstColumn="1" showLastColumn="1" showRowStripes="1"/>
</table>
</file>

<file path=xl/tables/table26.xml><?xml version="1.0" encoding="utf-8"?>
<table xmlns="http://schemas.openxmlformats.org/spreadsheetml/2006/main" ref="K267:S285" displayName="Table_13" name="Table_13" id="26">
  <tableColumns count="9">
    <tableColumn name="Time" id="1"/>
    <tableColumn name="Fuel" id="2"/>
    <tableColumn name="Caffeine" id="3"/>
    <tableColumn name="Sodium (mg)" id="4"/>
    <tableColumn name="Carbs (g)" id="5"/>
    <tableColumn name="Cumulative Carbs (g)" id="6"/>
    <tableColumn name="Carbs/ hr" id="7"/>
    <tableColumn name="How it went" id="8"/>
    <tableColumn name="Notes" id="9"/>
  </tableColumns>
  <tableStyleInfo name="Fueling-style 26" showColumnStripes="0" showFirstColumn="1" showLastColumn="1" showRowStripes="1"/>
</table>
</file>

<file path=xl/tables/table27.xml><?xml version="1.0" encoding="utf-8"?>
<table xmlns="http://schemas.openxmlformats.org/spreadsheetml/2006/main" ref="A289:I307" displayName="MFT_14_2" name="MFT_14_2" id="27">
  <tableColumns count="9">
    <tableColumn name="Time" id="1"/>
    <tableColumn name="Fuel" id="2"/>
    <tableColumn name="Caffeine" id="3"/>
    <tableColumn name="Sodium (mg)" id="4"/>
    <tableColumn name="Carbs (g)" id="5"/>
    <tableColumn name="Cumulative Carbs (g)" id="6"/>
    <tableColumn name="Carbs/ hr" id="7"/>
    <tableColumn name="How it went" id="8"/>
    <tableColumn name="Notes" id="9"/>
  </tableColumns>
  <tableStyleInfo name="Fueling-style 27" showColumnStripes="0" showFirstColumn="1" showLastColumn="1" showRowStripes="1"/>
</table>
</file>

<file path=xl/tables/table28.xml><?xml version="1.0" encoding="utf-8"?>
<table xmlns="http://schemas.openxmlformats.org/spreadsheetml/2006/main" ref="K289:S307" displayName="Table_14" name="Table_14" id="28">
  <tableColumns count="9">
    <tableColumn name="Time" id="1"/>
    <tableColumn name="Fuel" id="2"/>
    <tableColumn name="Caffeine" id="3"/>
    <tableColumn name="Sodium (mg)" id="4"/>
    <tableColumn name="Carbs (g)" id="5"/>
    <tableColumn name="Cumulative Carbs (g)" id="6"/>
    <tableColumn name="Carbs/ hr" id="7"/>
    <tableColumn name="How it went" id="8"/>
    <tableColumn name="Notes" id="9"/>
  </tableColumns>
  <tableStyleInfo name="Fueling-style 2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baa.org/races/boston-marathon/" TargetMode="External"/><Relationship Id="rId2" Type="http://schemas.openxmlformats.org/officeDocument/2006/relationships/hyperlink" Target="https://www.chicagomarathon.com/" TargetMode="External"/><Relationship Id="rId3" Type="http://schemas.openxmlformats.org/officeDocument/2006/relationships/hyperlink" Target="https://play.google.com/store/apps/details?id=com.google.android.apps.docs.editors.sheets&amp;hl=en_US&amp;gl=US" TargetMode="External"/><Relationship Id="rId4" Type="http://schemas.openxmlformats.org/officeDocument/2006/relationships/hyperlink" Target="https://apps.apple.com/in/app/google-sheets/id842849113"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table" Target="../tables/table11.xml"/><Relationship Id="rId42" Type="http://schemas.openxmlformats.org/officeDocument/2006/relationships/table" Target="../tables/table13.xml"/><Relationship Id="rId41" Type="http://schemas.openxmlformats.org/officeDocument/2006/relationships/table" Target="../tables/table12.xml"/><Relationship Id="rId44" Type="http://schemas.openxmlformats.org/officeDocument/2006/relationships/table" Target="../tables/table15.xml"/><Relationship Id="rId43" Type="http://schemas.openxmlformats.org/officeDocument/2006/relationships/table" Target="../tables/table14.xml"/><Relationship Id="rId46" Type="http://schemas.openxmlformats.org/officeDocument/2006/relationships/table" Target="../tables/table17.xml"/><Relationship Id="rId45" Type="http://schemas.openxmlformats.org/officeDocument/2006/relationships/table" Target="../tables/table16.xml"/><Relationship Id="rId1" Type="http://schemas.openxmlformats.org/officeDocument/2006/relationships/drawing" Target="../drawings/drawing2.xml"/><Relationship Id="rId48" Type="http://schemas.openxmlformats.org/officeDocument/2006/relationships/table" Target="../tables/table19.xml"/><Relationship Id="rId47" Type="http://schemas.openxmlformats.org/officeDocument/2006/relationships/table" Target="../tables/table18.xml"/><Relationship Id="rId49" Type="http://schemas.openxmlformats.org/officeDocument/2006/relationships/table" Target="../tables/table20.xml"/><Relationship Id="rId51" Type="http://schemas.openxmlformats.org/officeDocument/2006/relationships/table" Target="../tables/table22.xml"/><Relationship Id="rId50" Type="http://schemas.openxmlformats.org/officeDocument/2006/relationships/table" Target="../tables/table21.xml"/><Relationship Id="rId31" Type="http://schemas.openxmlformats.org/officeDocument/2006/relationships/table" Target="../tables/table2.xml"/><Relationship Id="rId53" Type="http://schemas.openxmlformats.org/officeDocument/2006/relationships/table" Target="../tables/table24.xml"/><Relationship Id="rId30" Type="http://schemas.openxmlformats.org/officeDocument/2006/relationships/table" Target="../tables/table1.xml"/><Relationship Id="rId52" Type="http://schemas.openxmlformats.org/officeDocument/2006/relationships/table" Target="../tables/table23.xml"/><Relationship Id="rId33" Type="http://schemas.openxmlformats.org/officeDocument/2006/relationships/table" Target="../tables/table4.xml"/><Relationship Id="rId55" Type="http://schemas.openxmlformats.org/officeDocument/2006/relationships/table" Target="../tables/table26.xml"/><Relationship Id="rId32" Type="http://schemas.openxmlformats.org/officeDocument/2006/relationships/table" Target="../tables/table3.xml"/><Relationship Id="rId54" Type="http://schemas.openxmlformats.org/officeDocument/2006/relationships/table" Target="../tables/table25.xml"/><Relationship Id="rId35" Type="http://schemas.openxmlformats.org/officeDocument/2006/relationships/table" Target="../tables/table6.xml"/><Relationship Id="rId57" Type="http://schemas.openxmlformats.org/officeDocument/2006/relationships/table" Target="../tables/table28.xml"/><Relationship Id="rId34" Type="http://schemas.openxmlformats.org/officeDocument/2006/relationships/table" Target="../tables/table5.xml"/><Relationship Id="rId56" Type="http://schemas.openxmlformats.org/officeDocument/2006/relationships/table" Target="../tables/table27.xml"/><Relationship Id="rId37" Type="http://schemas.openxmlformats.org/officeDocument/2006/relationships/table" Target="../tables/table8.xml"/><Relationship Id="rId36" Type="http://schemas.openxmlformats.org/officeDocument/2006/relationships/table" Target="../tables/table7.xml"/><Relationship Id="rId39" Type="http://schemas.openxmlformats.org/officeDocument/2006/relationships/table" Target="../tables/table10.xml"/><Relationship Id="rId38" Type="http://schemas.openxmlformats.org/officeDocument/2006/relationships/table" Target="../tables/table9.xml"/></Relationships>
</file>

<file path=xl/worksheets/_rels/sheet3.xml.rels><?xml version="1.0" encoding="UTF-8" standalone="yes"?><Relationships xmlns="http://schemas.openxmlformats.org/package/2006/relationships"><Relationship Id="rId40" Type="http://schemas.openxmlformats.org/officeDocument/2006/relationships/hyperlink" Target="https://youtu.be/CBKvP-o72LE" TargetMode="External"/><Relationship Id="rId42" Type="http://schemas.openxmlformats.org/officeDocument/2006/relationships/hyperlink" Target="https://youtu.be/U9q8OTvuuOo" TargetMode="External"/><Relationship Id="rId41" Type="http://schemas.openxmlformats.org/officeDocument/2006/relationships/hyperlink" Target="https://youtu.be/Z7xnK5K7Ols" TargetMode="External"/><Relationship Id="rId44" Type="http://schemas.openxmlformats.org/officeDocument/2006/relationships/hyperlink" Target="https://youtu.be/Ru-6uCl9INQ" TargetMode="External"/><Relationship Id="rId43" Type="http://schemas.openxmlformats.org/officeDocument/2006/relationships/hyperlink" Target="https://youtu.be/12duv4A4G5s" TargetMode="External"/><Relationship Id="rId46" Type="http://schemas.openxmlformats.org/officeDocument/2006/relationships/hyperlink" Target="https://youtu.be/A0dfn-1o_l4" TargetMode="External"/><Relationship Id="rId45" Type="http://schemas.openxmlformats.org/officeDocument/2006/relationships/hyperlink" Target="https://youtu.be/0LS2QixmL8s" TargetMode="External"/><Relationship Id="rId1" Type="http://schemas.openxmlformats.org/officeDocument/2006/relationships/hyperlink" Target="https://youtu.be/uEwDH3ALUFg" TargetMode="External"/><Relationship Id="rId2" Type="http://schemas.openxmlformats.org/officeDocument/2006/relationships/hyperlink" Target="https://youtu.be/py2foyIdIuE" TargetMode="External"/><Relationship Id="rId3" Type="http://schemas.openxmlformats.org/officeDocument/2006/relationships/hyperlink" Target="https://youtu.be/0LS2QixmL8s" TargetMode="External"/><Relationship Id="rId4" Type="http://schemas.openxmlformats.org/officeDocument/2006/relationships/hyperlink" Target="https://youtu.be/Hzo7cOns-W0" TargetMode="External"/><Relationship Id="rId9" Type="http://schemas.openxmlformats.org/officeDocument/2006/relationships/hyperlink" Target="https://youtu.be/gj0t-8MUo9M" TargetMode="External"/><Relationship Id="rId48" Type="http://schemas.openxmlformats.org/officeDocument/2006/relationships/hyperlink" Target="https://youtu.be/uEwDH3ALUFg" TargetMode="External"/><Relationship Id="rId47" Type="http://schemas.openxmlformats.org/officeDocument/2006/relationships/hyperlink" Target="https://youtu.be/zQ--IIIFSwg" TargetMode="External"/><Relationship Id="rId49" Type="http://schemas.openxmlformats.org/officeDocument/2006/relationships/hyperlink" Target="https://youtu.be/J31SqED4RBk" TargetMode="External"/><Relationship Id="rId5" Type="http://schemas.openxmlformats.org/officeDocument/2006/relationships/hyperlink" Target="https://youtu.be/rF0xnMKRKfo" TargetMode="External"/><Relationship Id="rId6" Type="http://schemas.openxmlformats.org/officeDocument/2006/relationships/hyperlink" Target="https://youtu.be/7jVlq5aqMfg" TargetMode="External"/><Relationship Id="rId7" Type="http://schemas.openxmlformats.org/officeDocument/2006/relationships/hyperlink" Target="https://youtu.be/uFGbr4AcgvI" TargetMode="External"/><Relationship Id="rId8" Type="http://schemas.openxmlformats.org/officeDocument/2006/relationships/hyperlink" Target="https://youtu.be/SkUr3vHThRA" TargetMode="External"/><Relationship Id="rId73" Type="http://schemas.openxmlformats.org/officeDocument/2006/relationships/hyperlink" Target="https://youtu.be/b4mzNWIDmGU" TargetMode="External"/><Relationship Id="rId72" Type="http://schemas.openxmlformats.org/officeDocument/2006/relationships/hyperlink" Target="https://youtu.be/2EKUUHxs6JE" TargetMode="External"/><Relationship Id="rId31" Type="http://schemas.openxmlformats.org/officeDocument/2006/relationships/hyperlink" Target="https://youtu.be/joWpbRhfjjI" TargetMode="External"/><Relationship Id="rId75" Type="http://schemas.openxmlformats.org/officeDocument/2006/relationships/drawing" Target="../drawings/drawing3.xml"/><Relationship Id="rId30" Type="http://schemas.openxmlformats.org/officeDocument/2006/relationships/hyperlink" Target="https://youtu.be/xB-V9ySpXsE" TargetMode="External"/><Relationship Id="rId74" Type="http://schemas.openxmlformats.org/officeDocument/2006/relationships/hyperlink" Target="https://youtu.be/1QJ8MryCb-A" TargetMode="External"/><Relationship Id="rId33" Type="http://schemas.openxmlformats.org/officeDocument/2006/relationships/hyperlink" Target="https://youtu.be/gj0t-8MUo9M" TargetMode="External"/><Relationship Id="rId32" Type="http://schemas.openxmlformats.org/officeDocument/2006/relationships/hyperlink" Target="https://youtu.be/jz38GnV9hWY" TargetMode="External"/><Relationship Id="rId35" Type="http://schemas.openxmlformats.org/officeDocument/2006/relationships/hyperlink" Target="https://youtu.be/py2foyIdIuE" TargetMode="External"/><Relationship Id="rId34" Type="http://schemas.openxmlformats.org/officeDocument/2006/relationships/hyperlink" Target="https://youtu.be/0LS2QixmL8s" TargetMode="External"/><Relationship Id="rId71" Type="http://schemas.openxmlformats.org/officeDocument/2006/relationships/hyperlink" Target="https://youtu.be/3kKeZ3QE8OM" TargetMode="External"/><Relationship Id="rId70" Type="http://schemas.openxmlformats.org/officeDocument/2006/relationships/hyperlink" Target="https://youtu.be/K-dtqtZoMUY" TargetMode="External"/><Relationship Id="rId37" Type="http://schemas.openxmlformats.org/officeDocument/2006/relationships/hyperlink" Target="https://youtu.be/qZGSr4HRkYk" TargetMode="External"/><Relationship Id="rId36" Type="http://schemas.openxmlformats.org/officeDocument/2006/relationships/hyperlink" Target="https://youtu.be/yRT2u68NBtU" TargetMode="External"/><Relationship Id="rId39" Type="http://schemas.openxmlformats.org/officeDocument/2006/relationships/hyperlink" Target="https://youtu.be/dWdiYSkrwR0" TargetMode="External"/><Relationship Id="rId38" Type="http://schemas.openxmlformats.org/officeDocument/2006/relationships/hyperlink" Target="https://youtu.be/NaKTzBrHEkQ" TargetMode="External"/><Relationship Id="rId62" Type="http://schemas.openxmlformats.org/officeDocument/2006/relationships/hyperlink" Target="https://youtu.be/UG8hLOS1LKg" TargetMode="External"/><Relationship Id="rId61" Type="http://schemas.openxmlformats.org/officeDocument/2006/relationships/hyperlink" Target="https://youtu.be/o-JTxMvsEyk" TargetMode="External"/><Relationship Id="rId20" Type="http://schemas.openxmlformats.org/officeDocument/2006/relationships/hyperlink" Target="https://youtu.be/6qTRTDDywRw" TargetMode="External"/><Relationship Id="rId64" Type="http://schemas.openxmlformats.org/officeDocument/2006/relationships/hyperlink" Target="https://youtu.be/B6SGfyPotnw" TargetMode="External"/><Relationship Id="rId63" Type="http://schemas.openxmlformats.org/officeDocument/2006/relationships/hyperlink" Target="https://youtu.be/ydEAyZgWdD4" TargetMode="External"/><Relationship Id="rId22" Type="http://schemas.openxmlformats.org/officeDocument/2006/relationships/hyperlink" Target="https://youtu.be/oemEUh1aYjI" TargetMode="External"/><Relationship Id="rId66" Type="http://schemas.openxmlformats.org/officeDocument/2006/relationships/hyperlink" Target="https://youtu.be/tvjyE6eoiRc" TargetMode="External"/><Relationship Id="rId21" Type="http://schemas.openxmlformats.org/officeDocument/2006/relationships/hyperlink" Target="https://youtu.be/12duv4A4G5s" TargetMode="External"/><Relationship Id="rId65" Type="http://schemas.openxmlformats.org/officeDocument/2006/relationships/hyperlink" Target="https://youtu.be/Vfjcvh8FVI8" TargetMode="External"/><Relationship Id="rId24" Type="http://schemas.openxmlformats.org/officeDocument/2006/relationships/hyperlink" Target="https://youtu.be/3s84co_XUSA" TargetMode="External"/><Relationship Id="rId68" Type="http://schemas.openxmlformats.org/officeDocument/2006/relationships/hyperlink" Target="https://youtu.be/oemEUh1aYjI" TargetMode="External"/><Relationship Id="rId23" Type="http://schemas.openxmlformats.org/officeDocument/2006/relationships/hyperlink" Target="https://youtu.be/uEwDH3ALUFg" TargetMode="External"/><Relationship Id="rId67" Type="http://schemas.openxmlformats.org/officeDocument/2006/relationships/hyperlink" Target="https://youtu.be/hbkuab0J10c" TargetMode="External"/><Relationship Id="rId60" Type="http://schemas.openxmlformats.org/officeDocument/2006/relationships/hyperlink" Target="https://youtu.be/NNaKQpxErhA" TargetMode="External"/><Relationship Id="rId26" Type="http://schemas.openxmlformats.org/officeDocument/2006/relationships/hyperlink" Target="https://youtu.be/BqDqzkahZpw" TargetMode="External"/><Relationship Id="rId25" Type="http://schemas.openxmlformats.org/officeDocument/2006/relationships/hyperlink" Target="https://youtu.be/leBHNYe1aVI" TargetMode="External"/><Relationship Id="rId69" Type="http://schemas.openxmlformats.org/officeDocument/2006/relationships/hyperlink" Target="https://youtu.be/L1TDxMp-2ss" TargetMode="External"/><Relationship Id="rId28" Type="http://schemas.openxmlformats.org/officeDocument/2006/relationships/hyperlink" Target="https://youtu.be/-MHM4-epBXw" TargetMode="External"/><Relationship Id="rId27" Type="http://schemas.openxmlformats.org/officeDocument/2006/relationships/hyperlink" Target="https://youtu.be/wzS1IWNJZ78" TargetMode="External"/><Relationship Id="rId29" Type="http://schemas.openxmlformats.org/officeDocument/2006/relationships/hyperlink" Target="https://youtu.be/IlZ_eEP_3h4" TargetMode="External"/><Relationship Id="rId51" Type="http://schemas.openxmlformats.org/officeDocument/2006/relationships/hyperlink" Target="https://youtu.be/CBKvP-o72LE" TargetMode="External"/><Relationship Id="rId50" Type="http://schemas.openxmlformats.org/officeDocument/2006/relationships/hyperlink" Target="https://youtu.be/6qTRTDDywRw" TargetMode="External"/><Relationship Id="rId53" Type="http://schemas.openxmlformats.org/officeDocument/2006/relationships/hyperlink" Target="https://youtu.be/klwf0txjLPs" TargetMode="External"/><Relationship Id="rId52" Type="http://schemas.openxmlformats.org/officeDocument/2006/relationships/hyperlink" Target="https://youtu.be/NaKTzBrHEkQ" TargetMode="External"/><Relationship Id="rId11" Type="http://schemas.openxmlformats.org/officeDocument/2006/relationships/hyperlink" Target="https://youtu.be/SESINdhlfnU" TargetMode="External"/><Relationship Id="rId55" Type="http://schemas.openxmlformats.org/officeDocument/2006/relationships/hyperlink" Target="https://youtu.be/oemEUh1aYjI" TargetMode="External"/><Relationship Id="rId10" Type="http://schemas.openxmlformats.org/officeDocument/2006/relationships/hyperlink" Target="https://youtu.be/joWpbRhfjjI" TargetMode="External"/><Relationship Id="rId54" Type="http://schemas.openxmlformats.org/officeDocument/2006/relationships/hyperlink" Target="https://youtu.be/jz38GnV9hWY" TargetMode="External"/><Relationship Id="rId13" Type="http://schemas.openxmlformats.org/officeDocument/2006/relationships/hyperlink" Target="https://youtu.be/Hzo7cOns-W0" TargetMode="External"/><Relationship Id="rId57" Type="http://schemas.openxmlformats.org/officeDocument/2006/relationships/hyperlink" Target="https://www.youtube.com/watch?v=vhLbp8ibmEE" TargetMode="External"/><Relationship Id="rId12" Type="http://schemas.openxmlformats.org/officeDocument/2006/relationships/hyperlink" Target="https://youtu.be/3s84co_XUSA" TargetMode="External"/><Relationship Id="rId56" Type="http://schemas.openxmlformats.org/officeDocument/2006/relationships/hyperlink" Target="https://youtu.be/PTj9YGzvJc0" TargetMode="External"/><Relationship Id="rId15" Type="http://schemas.openxmlformats.org/officeDocument/2006/relationships/hyperlink" Target="https://youtu.be/QBlq9sX44p0" TargetMode="External"/><Relationship Id="rId59" Type="http://schemas.openxmlformats.org/officeDocument/2006/relationships/hyperlink" Target="https://www.youtube.com/watch?v=0hTllAb4XGg" TargetMode="External"/><Relationship Id="rId14" Type="http://schemas.openxmlformats.org/officeDocument/2006/relationships/hyperlink" Target="https://youtu.be/PKMFQCO-W-E" TargetMode="External"/><Relationship Id="rId58" Type="http://schemas.openxmlformats.org/officeDocument/2006/relationships/hyperlink" Target="https://www.youtube.com/watch?v=plL13JF5BHA" TargetMode="External"/><Relationship Id="rId17" Type="http://schemas.openxmlformats.org/officeDocument/2006/relationships/hyperlink" Target="https://youtu.be/dfYLoLX0ZQE" TargetMode="External"/><Relationship Id="rId16" Type="http://schemas.openxmlformats.org/officeDocument/2006/relationships/hyperlink" Target="https://youtu.be/_0z0kQfILZM" TargetMode="External"/><Relationship Id="rId19" Type="http://schemas.openxmlformats.org/officeDocument/2006/relationships/hyperlink" Target="https://youtu.be/rdNBXFwtpoA" TargetMode="External"/><Relationship Id="rId18" Type="http://schemas.openxmlformats.org/officeDocument/2006/relationships/hyperlink" Target="https://youtu.be/QHF3wbu9JTo"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strava.com/athletes/54877630?oq=paige%20" TargetMode="External"/><Relationship Id="rId2" Type="http://schemas.openxmlformats.org/officeDocument/2006/relationships/hyperlink" Target="https://youtu.be/W0k4oP_BCcU" TargetMode="External"/><Relationship Id="rId3" Type="http://schemas.openxmlformats.org/officeDocument/2006/relationships/hyperlink" Target="https://youtu.be/PTj9YGzvJc0" TargetMode="External"/><Relationship Id="rId4" Type="http://schemas.openxmlformats.org/officeDocument/2006/relationships/hyperlink" Target="https://youtu.be/B6SGfyPotnw"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youtu.be/W0k4oP_BCcU" TargetMode="External"/><Relationship Id="rId2" Type="http://schemas.openxmlformats.org/officeDocument/2006/relationships/hyperlink" Target="https://youtu.be/PTj9YGzvJc0" TargetMode="External"/><Relationship Id="rId3" Type="http://schemas.openxmlformats.org/officeDocument/2006/relationships/hyperlink" Target="https://youtu.be/B6SGfyPotnw"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youtu.be/W0k4oP_BCcU" TargetMode="External"/><Relationship Id="rId2" Type="http://schemas.openxmlformats.org/officeDocument/2006/relationships/hyperlink" Target="https://youtu.be/PTj9YGzvJc0" TargetMode="External"/><Relationship Id="rId3" Type="http://schemas.openxmlformats.org/officeDocument/2006/relationships/hyperlink" Target="https://youtu.be/B6SGfyPotnw"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youtu.be/W0k4oP_BCcU" TargetMode="External"/><Relationship Id="rId2" Type="http://schemas.openxmlformats.org/officeDocument/2006/relationships/hyperlink" Target="https://youtu.be/PTj9YGzvJc0" TargetMode="External"/><Relationship Id="rId3" Type="http://schemas.openxmlformats.org/officeDocument/2006/relationships/hyperlink" Target="https://youtu.be/B6SGfyPotnw"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youtu.be/W0k4oP_BCcU" TargetMode="External"/><Relationship Id="rId2" Type="http://schemas.openxmlformats.org/officeDocument/2006/relationships/hyperlink" Target="https://youtu.be/PTj9YGzvJc0" TargetMode="External"/><Relationship Id="rId3" Type="http://schemas.openxmlformats.org/officeDocument/2006/relationships/hyperlink" Target="https://youtu.be/B6SGfyPotnw"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youtu.be/W0k4oP_BCcU" TargetMode="External"/><Relationship Id="rId2" Type="http://schemas.openxmlformats.org/officeDocument/2006/relationships/hyperlink" Target="https://youtu.be/PTj9YGzvJc0" TargetMode="External"/><Relationship Id="rId3" Type="http://schemas.openxmlformats.org/officeDocument/2006/relationships/hyperlink" Target="https://youtu.be/B6SGfyPotnw"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youtu.be/W0k4oP_BCcU" TargetMode="External"/><Relationship Id="rId2" Type="http://schemas.openxmlformats.org/officeDocument/2006/relationships/hyperlink" Target="https://youtu.be/PTj9YGzvJc0" TargetMode="External"/><Relationship Id="rId3" Type="http://schemas.openxmlformats.org/officeDocument/2006/relationships/hyperlink" Target="https://youtu.be/B6SGfyPotnw"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youtu.be/W0k4oP_BCcU" TargetMode="External"/><Relationship Id="rId2" Type="http://schemas.openxmlformats.org/officeDocument/2006/relationships/hyperlink" Target="https://youtu.be/PTj9YGzvJc0" TargetMode="External"/><Relationship Id="rId3" Type="http://schemas.openxmlformats.org/officeDocument/2006/relationships/hyperlink" Target="https://youtu.be/B6SGfyPotnw"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youtu.be/W0k4oP_BCcU" TargetMode="External"/><Relationship Id="rId2" Type="http://schemas.openxmlformats.org/officeDocument/2006/relationships/hyperlink" Target="https://youtu.be/PTj9YGzvJc0" TargetMode="External"/><Relationship Id="rId3" Type="http://schemas.openxmlformats.org/officeDocument/2006/relationships/hyperlink" Target="https://youtu.be/B6SGfyPotnw"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youtu.be/W0k4oP_BCcU" TargetMode="External"/><Relationship Id="rId2" Type="http://schemas.openxmlformats.org/officeDocument/2006/relationships/hyperlink" Target="https://youtu.be/PTj9YGzvJc0" TargetMode="External"/><Relationship Id="rId3" Type="http://schemas.openxmlformats.org/officeDocument/2006/relationships/hyperlink" Target="https://youtu.be/B6SGfyPotnw" TargetMode="External"/><Relationship Id="rId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youtu.be/W0k4oP_BCcU" TargetMode="External"/><Relationship Id="rId2" Type="http://schemas.openxmlformats.org/officeDocument/2006/relationships/hyperlink" Target="https://youtu.be/PTj9YGzvJc0" TargetMode="External"/><Relationship Id="rId3" Type="http://schemas.openxmlformats.org/officeDocument/2006/relationships/hyperlink" Target="https://youtu.be/B6SGfyPotnw" TargetMode="External"/><Relationship Id="rId4"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youtu.be/W0k4oP_BCcU" TargetMode="External"/><Relationship Id="rId2" Type="http://schemas.openxmlformats.org/officeDocument/2006/relationships/hyperlink" Target="https://youtu.be/PTj9YGzvJc0" TargetMode="External"/><Relationship Id="rId3" Type="http://schemas.openxmlformats.org/officeDocument/2006/relationships/hyperlink" Target="https://youtu.be/B6SGfyPotnw" TargetMode="External"/><Relationship Id="rId4"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2" width="17.5"/>
    <col customWidth="1" min="3" max="3" width="18.25"/>
    <col customWidth="1" min="4" max="4" width="18.13"/>
    <col customWidth="1" min="5" max="5" width="17.75"/>
    <col customWidth="1" min="6" max="6" width="18.25"/>
    <col customWidth="1" min="7" max="8" width="18.38"/>
    <col customWidth="1" min="9" max="9" width="17.88"/>
    <col customWidth="1" min="10" max="10" width="17.75"/>
    <col customWidth="1" min="11" max="17" width="18.38"/>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c r="A2" s="3"/>
      <c r="B2" s="3"/>
      <c r="C2" s="3"/>
      <c r="D2" s="3"/>
      <c r="E2" s="3"/>
      <c r="F2" s="3"/>
      <c r="G2" s="3"/>
      <c r="H2" s="3"/>
      <c r="I2" s="3"/>
      <c r="J2" s="3"/>
      <c r="K2" s="3"/>
      <c r="L2" s="3"/>
      <c r="M2" s="3"/>
      <c r="N2" s="3"/>
      <c r="O2" s="3"/>
      <c r="P2" s="3"/>
      <c r="Q2" s="3"/>
    </row>
    <row r="3" ht="44.25" customHeight="1">
      <c r="A3" s="4" t="s">
        <v>17</v>
      </c>
      <c r="B3" s="4"/>
      <c r="C3" s="4" t="s">
        <v>18</v>
      </c>
      <c r="D3" s="4"/>
      <c r="E3" s="4" t="s">
        <v>19</v>
      </c>
      <c r="F3" s="4"/>
      <c r="G3" s="4"/>
      <c r="H3" s="4"/>
      <c r="I3" s="4"/>
      <c r="J3" s="4" t="s">
        <v>20</v>
      </c>
      <c r="K3" s="5"/>
      <c r="L3" s="4"/>
      <c r="M3" s="4"/>
      <c r="N3" s="4"/>
      <c r="O3" s="4"/>
      <c r="P3" s="4"/>
      <c r="Q3" s="4"/>
    </row>
    <row r="4" ht="26.25" customHeight="1">
      <c r="A4" s="4" t="s">
        <v>21</v>
      </c>
      <c r="B4" s="6"/>
      <c r="C4" s="7">
        <v>46132.0</v>
      </c>
      <c r="D4" s="7"/>
      <c r="E4" s="7">
        <v>46306.0</v>
      </c>
      <c r="F4" s="7"/>
      <c r="G4" s="7"/>
      <c r="H4" s="7"/>
      <c r="I4" s="7"/>
      <c r="J4" s="6">
        <v>2027.0</v>
      </c>
      <c r="K4" s="8"/>
      <c r="L4" s="7"/>
      <c r="M4" s="7"/>
      <c r="N4" s="7"/>
      <c r="O4" s="7"/>
      <c r="P4" s="7"/>
      <c r="Q4" s="7"/>
    </row>
    <row r="5" ht="26.25" customHeight="1">
      <c r="A5" s="9" t="s">
        <v>22</v>
      </c>
      <c r="B5" s="10"/>
      <c r="C5" s="11"/>
      <c r="D5" s="11"/>
      <c r="E5" s="11"/>
      <c r="F5" s="11"/>
      <c r="G5" s="11"/>
      <c r="H5" s="11"/>
      <c r="I5" s="11"/>
      <c r="J5" s="11"/>
      <c r="K5" s="12"/>
      <c r="L5" s="11"/>
      <c r="M5" s="11"/>
      <c r="N5" s="11"/>
      <c r="O5" s="11"/>
      <c r="P5" s="11"/>
      <c r="Q5" s="11"/>
    </row>
    <row r="6">
      <c r="A6" s="4" t="s">
        <v>23</v>
      </c>
      <c r="B6" s="13"/>
      <c r="C6" s="13" t="s">
        <v>24</v>
      </c>
      <c r="D6" s="13"/>
      <c r="E6" s="13" t="s">
        <v>24</v>
      </c>
      <c r="F6" s="13"/>
      <c r="G6" s="13"/>
      <c r="H6" s="13"/>
      <c r="I6" s="13"/>
      <c r="J6" s="13" t="s">
        <v>25</v>
      </c>
      <c r="K6" s="14"/>
      <c r="L6" s="13"/>
      <c r="M6" s="13"/>
      <c r="N6" s="13"/>
      <c r="O6" s="13"/>
      <c r="P6" s="13"/>
      <c r="Q6" s="13"/>
    </row>
    <row r="7">
      <c r="A7" s="4" t="s">
        <v>26</v>
      </c>
      <c r="B7" s="13"/>
      <c r="C7" s="13" t="s">
        <v>27</v>
      </c>
      <c r="D7" s="13"/>
      <c r="E7" s="13" t="s">
        <v>27</v>
      </c>
      <c r="F7" s="13"/>
      <c r="G7" s="13"/>
      <c r="H7" s="13"/>
      <c r="I7" s="13"/>
      <c r="J7" s="13"/>
      <c r="K7" s="14"/>
      <c r="L7" s="13"/>
      <c r="M7" s="13"/>
      <c r="N7" s="13"/>
      <c r="O7" s="13"/>
      <c r="P7" s="13"/>
      <c r="Q7" s="13"/>
    </row>
    <row r="8">
      <c r="A8" s="4" t="s">
        <v>28</v>
      </c>
      <c r="B8" s="15"/>
      <c r="C8" s="15">
        <v>0.1388888888888889</v>
      </c>
      <c r="D8" s="15"/>
      <c r="E8" s="15"/>
      <c r="F8" s="15"/>
      <c r="G8" s="15"/>
      <c r="H8" s="15"/>
      <c r="I8" s="15"/>
      <c r="J8" s="15"/>
      <c r="K8" s="16"/>
      <c r="L8" s="15"/>
      <c r="M8" s="15"/>
      <c r="N8" s="15"/>
      <c r="O8" s="15"/>
      <c r="P8" s="15"/>
      <c r="Q8" s="15"/>
    </row>
    <row r="9">
      <c r="A9" s="17" t="s">
        <v>29</v>
      </c>
      <c r="B9" s="18" t="str">
        <f t="shared" ref="B9:Q9" si="1">IFerror(IFS(B7="100 Mile", B8/100,B7="100k",B8/62, B7="50 mile",B8/50, B7="50k",B8/31, B7="marathon",B8/26.2, B7="30k",B8/18.6, B7="25k",B8/15.5, B7="Half Marathon",B8/13.1, B7="10 Mile",B8/10, B7="15k",B8/9.3, B7="10k",B8/6.2, B7="8k",B8/5, B7="5k",B8/3.12, B7="1 Mile",B8/1),"")</f>
        <v/>
      </c>
      <c r="C9" s="18">
        <f t="shared" si="1"/>
        <v>0.005301102629</v>
      </c>
      <c r="D9" s="18" t="str">
        <f t="shared" si="1"/>
        <v/>
      </c>
      <c r="E9" s="18">
        <f t="shared" si="1"/>
        <v>0</v>
      </c>
      <c r="F9" s="18" t="str">
        <f t="shared" si="1"/>
        <v/>
      </c>
      <c r="G9" s="18" t="str">
        <f t="shared" si="1"/>
        <v/>
      </c>
      <c r="H9" s="18" t="str">
        <f t="shared" si="1"/>
        <v/>
      </c>
      <c r="I9" s="18" t="str">
        <f t="shared" si="1"/>
        <v/>
      </c>
      <c r="J9" s="18" t="str">
        <f t="shared" si="1"/>
        <v/>
      </c>
      <c r="K9" s="19" t="str">
        <f t="shared" si="1"/>
        <v/>
      </c>
      <c r="L9" s="18" t="str">
        <f t="shared" si="1"/>
        <v/>
      </c>
      <c r="M9" s="18" t="str">
        <f t="shared" si="1"/>
        <v/>
      </c>
      <c r="N9" s="18" t="str">
        <f t="shared" si="1"/>
        <v/>
      </c>
      <c r="O9" s="18" t="str">
        <f t="shared" si="1"/>
        <v/>
      </c>
      <c r="P9" s="18" t="str">
        <f t="shared" si="1"/>
        <v/>
      </c>
      <c r="Q9" s="18" t="str">
        <f t="shared" si="1"/>
        <v/>
      </c>
    </row>
    <row r="10">
      <c r="A10" s="17" t="s">
        <v>30</v>
      </c>
      <c r="B10" s="18">
        <f t="shared" ref="B10:Q10" si="2">B9/1.6</f>
        <v>0</v>
      </c>
      <c r="C10" s="18">
        <f t="shared" si="2"/>
        <v>0.003313189143</v>
      </c>
      <c r="D10" s="18">
        <f t="shared" si="2"/>
        <v>0</v>
      </c>
      <c r="E10" s="18">
        <f t="shared" si="2"/>
        <v>0</v>
      </c>
      <c r="F10" s="18">
        <f t="shared" si="2"/>
        <v>0</v>
      </c>
      <c r="G10" s="18">
        <f t="shared" si="2"/>
        <v>0</v>
      </c>
      <c r="H10" s="18">
        <f t="shared" si="2"/>
        <v>0</v>
      </c>
      <c r="I10" s="18">
        <f t="shared" si="2"/>
        <v>0</v>
      </c>
      <c r="J10" s="18">
        <f t="shared" si="2"/>
        <v>0</v>
      </c>
      <c r="K10" s="19">
        <f t="shared" si="2"/>
        <v>0</v>
      </c>
      <c r="L10" s="18">
        <f t="shared" si="2"/>
        <v>0</v>
      </c>
      <c r="M10" s="18">
        <f t="shared" si="2"/>
        <v>0</v>
      </c>
      <c r="N10" s="18">
        <f t="shared" si="2"/>
        <v>0</v>
      </c>
      <c r="O10" s="18">
        <f t="shared" si="2"/>
        <v>0</v>
      </c>
      <c r="P10" s="18">
        <f t="shared" si="2"/>
        <v>0</v>
      </c>
      <c r="Q10" s="18">
        <f t="shared" si="2"/>
        <v>0</v>
      </c>
    </row>
    <row r="11">
      <c r="A11" s="4" t="s">
        <v>31</v>
      </c>
      <c r="B11" s="15"/>
      <c r="C11" s="15">
        <v>0.13541666666666666</v>
      </c>
      <c r="D11" s="15"/>
      <c r="E11" s="15"/>
      <c r="F11" s="15"/>
      <c r="G11" s="15"/>
      <c r="H11" s="15"/>
      <c r="I11" s="15"/>
      <c r="J11" s="15"/>
      <c r="K11" s="16"/>
      <c r="L11" s="15"/>
      <c r="M11" s="15"/>
      <c r="N11" s="15"/>
      <c r="O11" s="15"/>
      <c r="P11" s="15"/>
      <c r="Q11" s="15"/>
    </row>
    <row r="12">
      <c r="A12" s="17" t="s">
        <v>29</v>
      </c>
      <c r="B12" s="18" t="str">
        <f t="shared" ref="B12:Q12" si="3">IFerror(IFS(B7="100 Mile", B11/100,B7="100k",B11/62, B7="50 mile",B11/50, B7="50k",B11/31, B7="marathon",B11/26.2, B7="30k",B11/18.6, B7="25k",B11/15.5, B7="Half Marathon",B11/13.1, B7="10 Mile",B11/10, B7="15k",B11/9.3, B7="10k",B11/6.2, B7="8k",B11/5, B7="5k",B11/3.12, B7="1 Mile",B11/1),"")</f>
        <v/>
      </c>
      <c r="C12" s="18">
        <f t="shared" si="3"/>
        <v>0.005168575064</v>
      </c>
      <c r="D12" s="18" t="str">
        <f t="shared" si="3"/>
        <v/>
      </c>
      <c r="E12" s="18">
        <f t="shared" si="3"/>
        <v>0</v>
      </c>
      <c r="F12" s="18" t="str">
        <f t="shared" si="3"/>
        <v/>
      </c>
      <c r="G12" s="18" t="str">
        <f t="shared" si="3"/>
        <v/>
      </c>
      <c r="H12" s="18" t="str">
        <f t="shared" si="3"/>
        <v/>
      </c>
      <c r="I12" s="18" t="str">
        <f t="shared" si="3"/>
        <v/>
      </c>
      <c r="J12" s="18" t="str">
        <f t="shared" si="3"/>
        <v/>
      </c>
      <c r="K12" s="19" t="str">
        <f t="shared" si="3"/>
        <v/>
      </c>
      <c r="L12" s="18" t="str">
        <f t="shared" si="3"/>
        <v/>
      </c>
      <c r="M12" s="18" t="str">
        <f t="shared" si="3"/>
        <v/>
      </c>
      <c r="N12" s="18" t="str">
        <f t="shared" si="3"/>
        <v/>
      </c>
      <c r="O12" s="18" t="str">
        <f t="shared" si="3"/>
        <v/>
      </c>
      <c r="P12" s="18" t="str">
        <f t="shared" si="3"/>
        <v/>
      </c>
      <c r="Q12" s="18" t="str">
        <f t="shared" si="3"/>
        <v/>
      </c>
    </row>
    <row r="13">
      <c r="A13" s="17" t="s">
        <v>30</v>
      </c>
      <c r="B13" s="18">
        <f t="shared" ref="B13:Q13" si="4">B12/1.6</f>
        <v>0</v>
      </c>
      <c r="C13" s="18">
        <f t="shared" si="4"/>
        <v>0.003230359415</v>
      </c>
      <c r="D13" s="18">
        <f t="shared" si="4"/>
        <v>0</v>
      </c>
      <c r="E13" s="18">
        <f t="shared" si="4"/>
        <v>0</v>
      </c>
      <c r="F13" s="18">
        <f t="shared" si="4"/>
        <v>0</v>
      </c>
      <c r="G13" s="18">
        <f t="shared" si="4"/>
        <v>0</v>
      </c>
      <c r="H13" s="18">
        <f t="shared" si="4"/>
        <v>0</v>
      </c>
      <c r="I13" s="18">
        <f t="shared" si="4"/>
        <v>0</v>
      </c>
      <c r="J13" s="18">
        <f t="shared" si="4"/>
        <v>0</v>
      </c>
      <c r="K13" s="19">
        <f t="shared" si="4"/>
        <v>0</v>
      </c>
      <c r="L13" s="18">
        <f t="shared" si="4"/>
        <v>0</v>
      </c>
      <c r="M13" s="18">
        <f t="shared" si="4"/>
        <v>0</v>
      </c>
      <c r="N13" s="18">
        <f t="shared" si="4"/>
        <v>0</v>
      </c>
      <c r="O13" s="18">
        <f t="shared" si="4"/>
        <v>0</v>
      </c>
      <c r="P13" s="18">
        <f t="shared" si="4"/>
        <v>0</v>
      </c>
      <c r="Q13" s="18">
        <f t="shared" si="4"/>
        <v>0</v>
      </c>
    </row>
    <row r="14">
      <c r="A14" s="4" t="s">
        <v>32</v>
      </c>
      <c r="B14" s="13"/>
      <c r="C14" s="13" t="s">
        <v>33</v>
      </c>
      <c r="D14" s="13"/>
      <c r="E14" s="13" t="s">
        <v>33</v>
      </c>
      <c r="F14" s="13"/>
      <c r="G14" s="13"/>
      <c r="H14" s="13"/>
      <c r="I14" s="13"/>
      <c r="J14" s="13"/>
      <c r="K14" s="13"/>
      <c r="L14" s="13"/>
      <c r="M14" s="13"/>
      <c r="N14" s="13"/>
      <c r="O14" s="13"/>
      <c r="P14" s="13"/>
      <c r="Q14" s="13"/>
    </row>
    <row r="15">
      <c r="A15" s="4" t="s">
        <v>34</v>
      </c>
      <c r="B15" s="13"/>
      <c r="C15" s="13" t="s">
        <v>35</v>
      </c>
      <c r="D15" s="13"/>
      <c r="E15" s="13" t="s">
        <v>36</v>
      </c>
      <c r="F15" s="13"/>
      <c r="G15" s="13"/>
      <c r="H15" s="13"/>
      <c r="I15" s="13"/>
      <c r="J15" s="13"/>
      <c r="K15" s="13"/>
      <c r="L15" s="13"/>
      <c r="M15" s="13"/>
      <c r="N15" s="13"/>
      <c r="O15" s="13"/>
      <c r="P15" s="13"/>
      <c r="Q15" s="13"/>
    </row>
    <row r="16">
      <c r="A16" s="4" t="s">
        <v>37</v>
      </c>
      <c r="B16" s="4" t="s">
        <v>38</v>
      </c>
      <c r="C16" s="20" t="s">
        <v>38</v>
      </c>
      <c r="D16" s="4" t="s">
        <v>38</v>
      </c>
      <c r="E16" s="20" t="s">
        <v>38</v>
      </c>
      <c r="F16" s="4" t="s">
        <v>38</v>
      </c>
      <c r="G16" s="4" t="s">
        <v>38</v>
      </c>
      <c r="H16" s="4" t="s">
        <v>38</v>
      </c>
      <c r="I16" s="4" t="s">
        <v>38</v>
      </c>
      <c r="J16" s="4" t="s">
        <v>38</v>
      </c>
      <c r="K16" s="5" t="s">
        <v>38</v>
      </c>
      <c r="L16" s="4" t="s">
        <v>38</v>
      </c>
      <c r="M16" s="4" t="s">
        <v>38</v>
      </c>
      <c r="N16" s="4" t="s">
        <v>38</v>
      </c>
      <c r="O16" s="4" t="s">
        <v>38</v>
      </c>
      <c r="P16" s="4" t="s">
        <v>38</v>
      </c>
      <c r="Q16" s="4" t="s">
        <v>38</v>
      </c>
    </row>
    <row r="17">
      <c r="A17" s="4" t="s">
        <v>39</v>
      </c>
      <c r="B17" s="4"/>
      <c r="C17" s="4"/>
      <c r="D17" s="4"/>
      <c r="E17" s="4"/>
      <c r="F17" s="4"/>
      <c r="G17" s="4"/>
      <c r="H17" s="4"/>
      <c r="I17" s="4"/>
      <c r="J17" s="4"/>
      <c r="K17" s="5"/>
      <c r="L17" s="4"/>
      <c r="M17" s="4"/>
      <c r="N17" s="4"/>
      <c r="O17" s="4"/>
      <c r="P17" s="4"/>
      <c r="Q17" s="4"/>
    </row>
    <row r="18">
      <c r="A18" s="21" t="s">
        <v>40</v>
      </c>
      <c r="B18" s="21" t="s">
        <v>41</v>
      </c>
      <c r="C18" s="21" t="s">
        <v>42</v>
      </c>
      <c r="D18" s="21" t="s">
        <v>43</v>
      </c>
      <c r="E18" s="21" t="s">
        <v>44</v>
      </c>
      <c r="F18" s="22" t="s">
        <v>45</v>
      </c>
      <c r="G18" s="23"/>
      <c r="H18" s="23"/>
      <c r="I18" s="23"/>
      <c r="J18" s="23"/>
      <c r="K18" s="23"/>
      <c r="L18" s="23"/>
      <c r="M18" s="23"/>
      <c r="N18" s="23"/>
      <c r="O18" s="23"/>
      <c r="P18" s="23"/>
      <c r="Q18" s="24"/>
    </row>
    <row r="19">
      <c r="A19" s="3"/>
      <c r="B19" s="3"/>
      <c r="C19" s="3"/>
      <c r="D19" s="3"/>
      <c r="E19" s="3"/>
      <c r="F19" s="25" t="s">
        <v>42</v>
      </c>
      <c r="G19" s="24"/>
      <c r="H19" s="26" t="s">
        <v>44</v>
      </c>
      <c r="I19" s="26" t="s">
        <v>41</v>
      </c>
      <c r="J19" s="26" t="s">
        <v>46</v>
      </c>
      <c r="K19" s="26" t="s">
        <v>47</v>
      </c>
      <c r="L19" s="25" t="s">
        <v>42</v>
      </c>
      <c r="M19" s="24"/>
      <c r="N19" s="26" t="s">
        <v>44</v>
      </c>
      <c r="O19" s="26" t="s">
        <v>41</v>
      </c>
      <c r="P19" s="26" t="s">
        <v>46</v>
      </c>
      <c r="Q19" s="26" t="s">
        <v>47</v>
      </c>
    </row>
    <row r="20">
      <c r="A20" s="27" t="s">
        <v>48</v>
      </c>
      <c r="B20" s="27"/>
      <c r="C20" s="27"/>
      <c r="D20" s="28">
        <f>B20/100</f>
        <v>0</v>
      </c>
      <c r="E20" s="29"/>
      <c r="F20" s="30" t="s">
        <v>49</v>
      </c>
      <c r="G20" s="24"/>
      <c r="H20" s="31" t="s">
        <v>50</v>
      </c>
      <c r="I20" s="31" t="s">
        <v>51</v>
      </c>
      <c r="J20" s="26" t="s">
        <v>52</v>
      </c>
      <c r="K20" s="32" t="s">
        <v>53</v>
      </c>
      <c r="L20" s="33"/>
      <c r="M20" s="24"/>
      <c r="N20" s="26"/>
      <c r="O20" s="26"/>
      <c r="P20" s="26"/>
      <c r="Q20" s="26"/>
    </row>
    <row r="21">
      <c r="A21" s="27" t="s">
        <v>54</v>
      </c>
      <c r="B21" s="27"/>
      <c r="C21" s="27"/>
      <c r="D21" s="34">
        <f>B21/62.13</f>
        <v>0</v>
      </c>
      <c r="E21" s="29"/>
      <c r="F21" s="30" t="s">
        <v>55</v>
      </c>
      <c r="G21" s="24"/>
      <c r="H21" s="31" t="s">
        <v>56</v>
      </c>
      <c r="I21" s="31" t="s">
        <v>57</v>
      </c>
      <c r="J21" s="26" t="s">
        <v>52</v>
      </c>
      <c r="K21" s="32" t="s">
        <v>58</v>
      </c>
      <c r="L21" s="33"/>
      <c r="M21" s="24"/>
      <c r="N21" s="26"/>
      <c r="O21" s="26"/>
      <c r="P21" s="26"/>
      <c r="Q21" s="26"/>
    </row>
    <row r="22">
      <c r="A22" s="27" t="s">
        <v>59</v>
      </c>
      <c r="B22" s="27"/>
      <c r="C22" s="27"/>
      <c r="D22" s="34">
        <f>B22/31</f>
        <v>0</v>
      </c>
      <c r="E22" s="29"/>
      <c r="F22" s="33"/>
      <c r="G22" s="24"/>
      <c r="H22" s="26"/>
      <c r="I22" s="26"/>
      <c r="J22" s="26"/>
      <c r="K22" s="26"/>
      <c r="L22" s="33"/>
      <c r="M22" s="24"/>
      <c r="N22" s="26"/>
      <c r="O22" s="26"/>
      <c r="P22" s="26"/>
      <c r="Q22" s="26"/>
    </row>
    <row r="23">
      <c r="A23" s="27" t="s">
        <v>27</v>
      </c>
      <c r="B23" s="35" t="s">
        <v>60</v>
      </c>
      <c r="C23" s="35" t="s">
        <v>55</v>
      </c>
      <c r="D23" s="34">
        <f>B23/26.2</f>
        <v>0.005460135708</v>
      </c>
      <c r="E23" s="29"/>
      <c r="F23" s="33"/>
      <c r="G23" s="24"/>
      <c r="H23" s="26"/>
      <c r="I23" s="26"/>
      <c r="J23" s="26"/>
      <c r="K23" s="26"/>
      <c r="L23" s="33"/>
      <c r="M23" s="24"/>
      <c r="N23" s="26"/>
      <c r="O23" s="26"/>
      <c r="P23" s="26"/>
      <c r="Q23" s="26"/>
    </row>
    <row r="24">
      <c r="A24" s="27" t="s">
        <v>61</v>
      </c>
      <c r="B24" s="35"/>
      <c r="C24" s="35"/>
      <c r="D24" s="34">
        <f>B24/18.6</f>
        <v>0</v>
      </c>
      <c r="E24" s="29"/>
      <c r="F24" s="33"/>
      <c r="G24" s="24"/>
      <c r="H24" s="26"/>
      <c r="I24" s="26"/>
      <c r="J24" s="26"/>
      <c r="K24" s="26"/>
      <c r="L24" s="33"/>
      <c r="M24" s="24"/>
      <c r="N24" s="26"/>
      <c r="O24" s="26"/>
      <c r="P24" s="26"/>
      <c r="Q24" s="26"/>
    </row>
    <row r="25">
      <c r="A25" s="27" t="s">
        <v>62</v>
      </c>
      <c r="B25" s="27"/>
      <c r="C25" s="27"/>
      <c r="D25" s="34">
        <f>B25/15.5</f>
        <v>0</v>
      </c>
      <c r="E25" s="29"/>
      <c r="F25" s="33"/>
      <c r="G25" s="24"/>
      <c r="H25" s="26"/>
      <c r="I25" s="26"/>
      <c r="J25" s="26"/>
      <c r="K25" s="26"/>
      <c r="L25" s="33"/>
      <c r="M25" s="24"/>
      <c r="N25" s="26"/>
      <c r="O25" s="26"/>
      <c r="P25" s="26"/>
      <c r="Q25" s="26"/>
    </row>
    <row r="26">
      <c r="A26" s="27" t="s">
        <v>63</v>
      </c>
      <c r="B26" s="35" t="s">
        <v>64</v>
      </c>
      <c r="C26" s="35" t="s">
        <v>65</v>
      </c>
      <c r="D26" s="34">
        <f>B26/13.1</f>
        <v>0.005241906983</v>
      </c>
      <c r="E26" s="35" t="s">
        <v>66</v>
      </c>
      <c r="F26" s="33"/>
      <c r="G26" s="24"/>
      <c r="H26" s="26"/>
      <c r="I26" s="26"/>
      <c r="J26" s="26"/>
      <c r="K26" s="26"/>
      <c r="L26" s="33"/>
      <c r="M26" s="24"/>
      <c r="N26" s="26"/>
      <c r="O26" s="26"/>
      <c r="P26" s="26"/>
      <c r="Q26" s="26"/>
    </row>
    <row r="27">
      <c r="A27" s="27" t="s">
        <v>67</v>
      </c>
      <c r="B27" s="27"/>
      <c r="C27" s="27"/>
      <c r="D27" s="34">
        <f>B27/10</f>
        <v>0</v>
      </c>
      <c r="E27" s="29"/>
      <c r="F27" s="33"/>
      <c r="G27" s="24"/>
      <c r="H27" s="26"/>
      <c r="I27" s="26"/>
      <c r="J27" s="26"/>
      <c r="K27" s="26"/>
      <c r="L27" s="33"/>
      <c r="M27" s="24"/>
      <c r="N27" s="26"/>
      <c r="O27" s="26"/>
      <c r="P27" s="26"/>
      <c r="Q27" s="26"/>
    </row>
    <row r="28">
      <c r="A28" s="27" t="s">
        <v>68</v>
      </c>
      <c r="B28" s="27"/>
      <c r="C28" s="27"/>
      <c r="D28" s="34">
        <f>B28/9.3</f>
        <v>0</v>
      </c>
      <c r="E28" s="29"/>
      <c r="F28" s="33"/>
      <c r="G28" s="24"/>
      <c r="H28" s="26"/>
      <c r="I28" s="26"/>
      <c r="J28" s="26"/>
      <c r="K28" s="26"/>
      <c r="L28" s="33"/>
      <c r="M28" s="24"/>
      <c r="N28" s="26"/>
      <c r="O28" s="26"/>
      <c r="P28" s="26"/>
      <c r="Q28" s="26"/>
    </row>
    <row r="29">
      <c r="A29" s="27" t="s">
        <v>69</v>
      </c>
      <c r="B29" s="27"/>
      <c r="C29" s="27"/>
      <c r="D29" s="34">
        <f>B29/6.2</f>
        <v>0</v>
      </c>
      <c r="E29" s="29"/>
      <c r="F29" s="33"/>
      <c r="G29" s="24"/>
      <c r="H29" s="26"/>
      <c r="I29" s="26"/>
      <c r="J29" s="26"/>
      <c r="K29" s="26"/>
      <c r="L29" s="33"/>
      <c r="M29" s="24"/>
      <c r="N29" s="26"/>
      <c r="O29" s="26"/>
      <c r="P29" s="26"/>
      <c r="Q29" s="26"/>
    </row>
    <row r="30">
      <c r="A30" s="27" t="s">
        <v>70</v>
      </c>
      <c r="B30" s="27"/>
      <c r="C30" s="27"/>
      <c r="D30" s="34">
        <f>B30/5</f>
        <v>0</v>
      </c>
      <c r="E30" s="29"/>
      <c r="F30" s="33"/>
      <c r="G30" s="24"/>
      <c r="H30" s="26"/>
      <c r="I30" s="26"/>
      <c r="J30" s="26"/>
      <c r="K30" s="26"/>
      <c r="L30" s="33"/>
      <c r="M30" s="24"/>
      <c r="N30" s="26"/>
      <c r="O30" s="26"/>
      <c r="P30" s="26"/>
      <c r="Q30" s="26"/>
    </row>
    <row r="31">
      <c r="A31" s="27" t="s">
        <v>71</v>
      </c>
      <c r="B31" s="27"/>
      <c r="C31" s="27"/>
      <c r="D31" s="34">
        <f>B31/3.12</f>
        <v>0</v>
      </c>
      <c r="E31" s="29"/>
      <c r="F31" s="33"/>
      <c r="G31" s="24"/>
      <c r="H31" s="26"/>
      <c r="I31" s="26"/>
      <c r="J31" s="26"/>
      <c r="K31" s="26"/>
      <c r="L31" s="33"/>
      <c r="M31" s="24"/>
      <c r="N31" s="26"/>
      <c r="O31" s="26"/>
      <c r="P31" s="26"/>
      <c r="Q31" s="26"/>
    </row>
    <row r="32">
      <c r="A32" s="27" t="s">
        <v>72</v>
      </c>
      <c r="B32" s="27"/>
      <c r="C32" s="27"/>
      <c r="D32" s="34">
        <f>B32/2</f>
        <v>0</v>
      </c>
      <c r="E32" s="29"/>
      <c r="F32" s="33"/>
      <c r="G32" s="24"/>
      <c r="H32" s="26"/>
      <c r="I32" s="26"/>
      <c r="J32" s="26"/>
      <c r="K32" s="26"/>
      <c r="L32" s="33"/>
      <c r="M32" s="24"/>
      <c r="N32" s="26"/>
      <c r="O32" s="26"/>
      <c r="P32" s="26"/>
      <c r="Q32" s="26"/>
    </row>
    <row r="33">
      <c r="A33" s="27" t="s">
        <v>73</v>
      </c>
      <c r="B33" s="27"/>
      <c r="C33" s="27"/>
      <c r="D33" s="34">
        <f>B33/1</f>
        <v>0</v>
      </c>
      <c r="E33" s="29"/>
      <c r="F33" s="33"/>
      <c r="G33" s="24"/>
      <c r="H33" s="26"/>
      <c r="I33" s="26"/>
      <c r="J33" s="26"/>
      <c r="K33" s="26"/>
      <c r="L33" s="33"/>
      <c r="M33" s="24"/>
      <c r="N33" s="26"/>
      <c r="O33" s="26"/>
      <c r="P33" s="26"/>
      <c r="Q33" s="26"/>
    </row>
    <row r="34">
      <c r="A34" s="36" t="s">
        <v>74</v>
      </c>
      <c r="B34" s="23"/>
      <c r="C34" s="23"/>
      <c r="D34" s="23"/>
      <c r="E34" s="23"/>
      <c r="F34" s="23"/>
      <c r="G34" s="23"/>
      <c r="H34" s="23"/>
      <c r="I34" s="24"/>
      <c r="J34" s="37" t="s">
        <v>75</v>
      </c>
      <c r="K34" s="38"/>
      <c r="L34" s="39" t="s">
        <v>76</v>
      </c>
      <c r="M34" s="23"/>
      <c r="N34" s="23"/>
      <c r="O34" s="23"/>
      <c r="P34" s="23"/>
      <c r="Q34" s="24"/>
    </row>
    <row r="35">
      <c r="A35" s="40">
        <v>46023.0</v>
      </c>
      <c r="B35" s="41"/>
      <c r="C35" s="42"/>
      <c r="D35" s="40">
        <v>46023.0</v>
      </c>
      <c r="E35" s="43"/>
      <c r="F35" s="42"/>
      <c r="G35" s="40">
        <v>46023.0</v>
      </c>
      <c r="H35" s="43"/>
      <c r="I35" s="42"/>
      <c r="J35" s="44" t="s">
        <v>77</v>
      </c>
      <c r="K35" s="45"/>
      <c r="L35" s="46" t="s">
        <v>78</v>
      </c>
      <c r="M35" s="42"/>
      <c r="N35" s="47"/>
      <c r="O35" s="48"/>
      <c r="P35" s="48"/>
      <c r="Q35" s="42"/>
    </row>
    <row r="36">
      <c r="A36" s="49"/>
      <c r="B36" s="50"/>
      <c r="C36" s="51"/>
      <c r="D36" s="49"/>
      <c r="E36" s="50"/>
      <c r="F36" s="51"/>
      <c r="G36" s="49"/>
      <c r="H36" s="50"/>
      <c r="I36" s="51"/>
      <c r="K36" s="52"/>
      <c r="L36" s="53"/>
      <c r="M36" s="54"/>
      <c r="N36" s="53"/>
      <c r="O36" s="55"/>
      <c r="P36" s="55"/>
      <c r="Q36" s="54"/>
    </row>
    <row r="37">
      <c r="A37" s="49"/>
      <c r="B37" s="50"/>
      <c r="C37" s="51"/>
      <c r="D37" s="49"/>
      <c r="E37" s="50"/>
      <c r="F37" s="51"/>
      <c r="G37" s="49"/>
      <c r="H37" s="50"/>
      <c r="I37" s="51"/>
      <c r="K37" s="52"/>
      <c r="L37" s="46" t="s">
        <v>79</v>
      </c>
      <c r="M37" s="42"/>
      <c r="N37" s="47"/>
      <c r="O37" s="48"/>
      <c r="P37" s="48"/>
      <c r="Q37" s="42"/>
    </row>
    <row r="38">
      <c r="A38" s="3"/>
      <c r="B38" s="53"/>
      <c r="C38" s="54"/>
      <c r="D38" s="3"/>
      <c r="E38" s="53"/>
      <c r="F38" s="54"/>
      <c r="G38" s="3"/>
      <c r="H38" s="53"/>
      <c r="I38" s="54"/>
      <c r="J38" s="56"/>
      <c r="K38" s="57"/>
      <c r="L38" s="53"/>
      <c r="M38" s="54"/>
      <c r="N38" s="53"/>
      <c r="O38" s="55"/>
      <c r="P38" s="55"/>
      <c r="Q38" s="54"/>
    </row>
    <row r="39">
      <c r="A39" s="40">
        <v>46023.0</v>
      </c>
      <c r="B39" s="43"/>
      <c r="C39" s="42"/>
      <c r="D39" s="40">
        <v>46023.0</v>
      </c>
      <c r="E39" s="43"/>
      <c r="F39" s="42"/>
      <c r="G39" s="40">
        <v>46023.0</v>
      </c>
      <c r="H39" s="43"/>
      <c r="I39" s="42"/>
      <c r="J39" s="44" t="s">
        <v>80</v>
      </c>
      <c r="K39" s="45"/>
      <c r="L39" s="58" t="s">
        <v>81</v>
      </c>
      <c r="M39" s="42"/>
      <c r="N39" s="59"/>
      <c r="O39" s="48"/>
      <c r="P39" s="48"/>
      <c r="Q39" s="42"/>
    </row>
    <row r="40">
      <c r="A40" s="49"/>
      <c r="B40" s="50"/>
      <c r="C40" s="51"/>
      <c r="D40" s="49"/>
      <c r="E40" s="50"/>
      <c r="F40" s="51"/>
      <c r="G40" s="49"/>
      <c r="H40" s="50"/>
      <c r="I40" s="51"/>
      <c r="K40" s="52"/>
      <c r="L40" s="55"/>
      <c r="M40" s="54"/>
      <c r="N40" s="53"/>
      <c r="O40" s="55"/>
      <c r="P40" s="55"/>
      <c r="Q40" s="54"/>
    </row>
    <row r="41">
      <c r="A41" s="49"/>
      <c r="B41" s="50"/>
      <c r="C41" s="51"/>
      <c r="D41" s="49"/>
      <c r="E41" s="50"/>
      <c r="F41" s="51"/>
      <c r="G41" s="49"/>
      <c r="H41" s="50"/>
      <c r="I41" s="51"/>
      <c r="K41" s="52"/>
      <c r="L41" s="46" t="s">
        <v>82</v>
      </c>
      <c r="M41" s="42"/>
      <c r="N41" s="59"/>
      <c r="O41" s="48"/>
      <c r="P41" s="48"/>
      <c r="Q41" s="42"/>
    </row>
    <row r="42">
      <c r="A42" s="3"/>
      <c r="B42" s="53"/>
      <c r="C42" s="54"/>
      <c r="D42" s="3"/>
      <c r="E42" s="53"/>
      <c r="F42" s="54"/>
      <c r="G42" s="3"/>
      <c r="H42" s="53"/>
      <c r="I42" s="54"/>
      <c r="J42" s="56"/>
      <c r="K42" s="57"/>
      <c r="L42" s="53"/>
      <c r="M42" s="54"/>
      <c r="N42" s="53"/>
      <c r="O42" s="55"/>
      <c r="P42" s="55"/>
      <c r="Q42" s="54"/>
    </row>
    <row r="43">
      <c r="A43" s="40">
        <v>46023.0</v>
      </c>
      <c r="B43" s="43"/>
      <c r="C43" s="42"/>
      <c r="D43" s="40">
        <v>46023.0</v>
      </c>
      <c r="E43" s="43"/>
      <c r="F43" s="42"/>
      <c r="G43" s="40">
        <v>46023.0</v>
      </c>
      <c r="H43" s="43"/>
      <c r="I43" s="42"/>
      <c r="J43" s="60" t="s">
        <v>83</v>
      </c>
      <c r="K43" s="45"/>
      <c r="L43" s="46" t="s">
        <v>84</v>
      </c>
      <c r="M43" s="42"/>
      <c r="N43" s="59"/>
      <c r="O43" s="48"/>
      <c r="P43" s="48"/>
      <c r="Q43" s="42"/>
    </row>
    <row r="44">
      <c r="A44" s="49"/>
      <c r="B44" s="50"/>
      <c r="C44" s="51"/>
      <c r="D44" s="49"/>
      <c r="E44" s="50"/>
      <c r="F44" s="51"/>
      <c r="G44" s="49"/>
      <c r="H44" s="50"/>
      <c r="I44" s="51"/>
      <c r="K44" s="52"/>
      <c r="L44" s="53"/>
      <c r="M44" s="54"/>
      <c r="N44" s="53"/>
      <c r="O44" s="55"/>
      <c r="P44" s="55"/>
      <c r="Q44" s="54"/>
    </row>
    <row r="45">
      <c r="A45" s="49"/>
      <c r="B45" s="50"/>
      <c r="C45" s="51"/>
      <c r="D45" s="49"/>
      <c r="E45" s="50"/>
      <c r="F45" s="51"/>
      <c r="G45" s="49"/>
      <c r="H45" s="50"/>
      <c r="I45" s="51"/>
      <c r="K45" s="52"/>
      <c r="L45" s="61" t="s">
        <v>85</v>
      </c>
      <c r="M45" s="42"/>
      <c r="N45" s="59"/>
      <c r="O45" s="48"/>
      <c r="P45" s="48"/>
      <c r="Q45" s="42"/>
    </row>
    <row r="46">
      <c r="A46" s="3"/>
      <c r="B46" s="53"/>
      <c r="C46" s="54"/>
      <c r="D46" s="3"/>
      <c r="E46" s="53"/>
      <c r="F46" s="54"/>
      <c r="G46" s="3"/>
      <c r="H46" s="53"/>
      <c r="I46" s="54"/>
      <c r="J46" s="56"/>
      <c r="K46" s="57"/>
      <c r="L46" s="55"/>
      <c r="M46" s="54"/>
      <c r="N46" s="53"/>
      <c r="O46" s="55"/>
      <c r="P46" s="55"/>
      <c r="Q46" s="54"/>
    </row>
    <row r="47">
      <c r="A47" s="40">
        <v>46023.0</v>
      </c>
      <c r="B47" s="43"/>
      <c r="C47" s="42"/>
      <c r="D47" s="40">
        <v>46023.0</v>
      </c>
      <c r="E47" s="43"/>
      <c r="F47" s="42"/>
      <c r="G47" s="40">
        <v>46023.0</v>
      </c>
      <c r="H47" s="43"/>
      <c r="I47" s="42"/>
      <c r="J47" s="60" t="s">
        <v>86</v>
      </c>
      <c r="K47" s="45"/>
      <c r="L47" s="61" t="s">
        <v>87</v>
      </c>
      <c r="M47" s="42"/>
      <c r="N47" s="59"/>
      <c r="O47" s="48"/>
      <c r="P47" s="48"/>
      <c r="Q47" s="42"/>
    </row>
    <row r="48">
      <c r="A48" s="49"/>
      <c r="B48" s="50"/>
      <c r="C48" s="51"/>
      <c r="D48" s="49"/>
      <c r="E48" s="50"/>
      <c r="F48" s="51"/>
      <c r="G48" s="49"/>
      <c r="H48" s="50"/>
      <c r="I48" s="51"/>
      <c r="K48" s="52"/>
      <c r="L48" s="55"/>
      <c r="M48" s="54"/>
      <c r="N48" s="53"/>
      <c r="O48" s="55"/>
      <c r="P48" s="55"/>
      <c r="Q48" s="54"/>
    </row>
    <row r="49">
      <c r="A49" s="49"/>
      <c r="B49" s="50"/>
      <c r="C49" s="51"/>
      <c r="D49" s="49"/>
      <c r="E49" s="50"/>
      <c r="F49" s="51"/>
      <c r="G49" s="49"/>
      <c r="H49" s="50"/>
      <c r="I49" s="51"/>
      <c r="K49" s="52"/>
      <c r="L49" s="61" t="s">
        <v>88</v>
      </c>
      <c r="M49" s="42"/>
      <c r="N49" s="59"/>
      <c r="O49" s="48"/>
      <c r="P49" s="48"/>
      <c r="Q49" s="42"/>
    </row>
    <row r="50">
      <c r="A50" s="3"/>
      <c r="B50" s="53"/>
      <c r="C50" s="54"/>
      <c r="D50" s="3"/>
      <c r="E50" s="53"/>
      <c r="F50" s="54"/>
      <c r="G50" s="3"/>
      <c r="H50" s="53"/>
      <c r="I50" s="54"/>
      <c r="J50" s="56"/>
      <c r="K50" s="57"/>
      <c r="L50" s="55"/>
      <c r="M50" s="54"/>
      <c r="N50" s="53"/>
      <c r="O50" s="55"/>
      <c r="P50" s="55"/>
      <c r="Q50" s="54"/>
    </row>
    <row r="51">
      <c r="A51" s="40">
        <v>46023.0</v>
      </c>
      <c r="B51" s="43"/>
      <c r="C51" s="42"/>
      <c r="D51" s="40">
        <v>46023.0</v>
      </c>
      <c r="E51" s="43"/>
      <c r="F51" s="42"/>
      <c r="G51" s="40">
        <v>46023.0</v>
      </c>
      <c r="H51" s="43"/>
      <c r="I51" s="42"/>
      <c r="J51" s="60" t="s">
        <v>89</v>
      </c>
      <c r="K51" s="45"/>
      <c r="L51" s="58" t="s">
        <v>90</v>
      </c>
      <c r="M51" s="42"/>
      <c r="N51" s="59"/>
      <c r="O51" s="48"/>
      <c r="P51" s="48"/>
      <c r="Q51" s="42"/>
    </row>
    <row r="52">
      <c r="A52" s="49"/>
      <c r="B52" s="50"/>
      <c r="C52" s="51"/>
      <c r="D52" s="49"/>
      <c r="E52" s="50"/>
      <c r="F52" s="51"/>
      <c r="G52" s="49"/>
      <c r="H52" s="50"/>
      <c r="I52" s="51"/>
      <c r="K52" s="52"/>
      <c r="L52" s="55"/>
      <c r="M52" s="54"/>
      <c r="N52" s="53"/>
      <c r="O52" s="55"/>
      <c r="P52" s="55"/>
      <c r="Q52" s="54"/>
    </row>
    <row r="53">
      <c r="A53" s="49"/>
      <c r="B53" s="50"/>
      <c r="C53" s="51"/>
      <c r="D53" s="49"/>
      <c r="E53" s="50"/>
      <c r="F53" s="51"/>
      <c r="G53" s="49"/>
      <c r="H53" s="50"/>
      <c r="I53" s="51"/>
      <c r="K53" s="52"/>
      <c r="L53" s="58" t="s">
        <v>91</v>
      </c>
      <c r="M53" s="42"/>
      <c r="N53" s="59"/>
      <c r="O53" s="48"/>
      <c r="P53" s="48"/>
      <c r="Q53" s="42"/>
    </row>
    <row r="54">
      <c r="A54" s="3"/>
      <c r="B54" s="53"/>
      <c r="C54" s="54"/>
      <c r="D54" s="3"/>
      <c r="E54" s="53"/>
      <c r="F54" s="54"/>
      <c r="G54" s="3"/>
      <c r="H54" s="53"/>
      <c r="I54" s="54"/>
      <c r="J54" s="56"/>
      <c r="K54" s="57"/>
      <c r="L54" s="55"/>
      <c r="M54" s="54"/>
      <c r="N54" s="53"/>
      <c r="O54" s="55"/>
      <c r="P54" s="55"/>
      <c r="Q54" s="54"/>
    </row>
    <row r="55">
      <c r="A55" s="40">
        <v>46023.0</v>
      </c>
      <c r="B55" s="43"/>
      <c r="C55" s="42"/>
      <c r="D55" s="40">
        <v>46023.0</v>
      </c>
      <c r="E55" s="43"/>
      <c r="F55" s="42"/>
      <c r="G55" s="40">
        <v>46023.0</v>
      </c>
      <c r="H55" s="43"/>
      <c r="I55" s="42"/>
      <c r="J55" s="60" t="s">
        <v>92</v>
      </c>
      <c r="K55" s="45"/>
      <c r="L55" s="58" t="s">
        <v>93</v>
      </c>
      <c r="M55" s="42"/>
      <c r="N55" s="59"/>
      <c r="O55" s="48"/>
      <c r="P55" s="48"/>
      <c r="Q55" s="42"/>
    </row>
    <row r="56">
      <c r="A56" s="49"/>
      <c r="B56" s="50"/>
      <c r="C56" s="51"/>
      <c r="D56" s="49"/>
      <c r="E56" s="50"/>
      <c r="F56" s="51"/>
      <c r="G56" s="49"/>
      <c r="H56" s="50"/>
      <c r="I56" s="51"/>
      <c r="K56" s="52"/>
      <c r="L56" s="55"/>
      <c r="M56" s="54"/>
      <c r="N56" s="53"/>
      <c r="O56" s="55"/>
      <c r="P56" s="55"/>
      <c r="Q56" s="54"/>
    </row>
    <row r="57">
      <c r="A57" s="49"/>
      <c r="B57" s="50"/>
      <c r="C57" s="51"/>
      <c r="D57" s="49"/>
      <c r="E57" s="50"/>
      <c r="F57" s="51"/>
      <c r="G57" s="49"/>
      <c r="H57" s="50"/>
      <c r="I57" s="51"/>
      <c r="K57" s="52"/>
      <c r="L57" s="58" t="s">
        <v>94</v>
      </c>
      <c r="M57" s="42"/>
      <c r="N57" s="59"/>
      <c r="O57" s="48"/>
      <c r="P57" s="48"/>
      <c r="Q57" s="42"/>
    </row>
    <row r="58">
      <c r="A58" s="3"/>
      <c r="B58" s="53"/>
      <c r="C58" s="54"/>
      <c r="D58" s="3"/>
      <c r="E58" s="53"/>
      <c r="F58" s="54"/>
      <c r="G58" s="3"/>
      <c r="H58" s="53"/>
      <c r="I58" s="54"/>
      <c r="J58" s="56"/>
      <c r="K58" s="57"/>
      <c r="L58" s="55"/>
      <c r="M58" s="54"/>
      <c r="N58" s="53"/>
      <c r="O58" s="55"/>
      <c r="P58" s="55"/>
      <c r="Q58" s="54"/>
    </row>
    <row r="59">
      <c r="A59" s="40">
        <v>46023.0</v>
      </c>
      <c r="B59" s="43"/>
      <c r="C59" s="42"/>
      <c r="D59" s="40">
        <v>46023.0</v>
      </c>
      <c r="E59" s="43"/>
      <c r="F59" s="42"/>
      <c r="G59" s="40">
        <v>46023.0</v>
      </c>
      <c r="H59" s="43"/>
      <c r="I59" s="42"/>
      <c r="J59" s="60" t="s">
        <v>95</v>
      </c>
      <c r="K59" s="45"/>
      <c r="L59" s="58" t="s">
        <v>96</v>
      </c>
      <c r="M59" s="42"/>
      <c r="N59" s="59"/>
      <c r="O59" s="48"/>
      <c r="P59" s="48"/>
      <c r="Q59" s="42"/>
    </row>
    <row r="60">
      <c r="A60" s="49"/>
      <c r="B60" s="50"/>
      <c r="C60" s="51"/>
      <c r="D60" s="49"/>
      <c r="E60" s="50"/>
      <c r="F60" s="51"/>
      <c r="G60" s="49"/>
      <c r="H60" s="50"/>
      <c r="I60" s="51"/>
      <c r="K60" s="52"/>
      <c r="L60" s="55"/>
      <c r="M60" s="54"/>
      <c r="N60" s="53"/>
      <c r="O60" s="55"/>
      <c r="P60" s="55"/>
      <c r="Q60" s="54"/>
    </row>
    <row r="61">
      <c r="A61" s="49"/>
      <c r="B61" s="50"/>
      <c r="C61" s="51"/>
      <c r="D61" s="49"/>
      <c r="E61" s="50"/>
      <c r="F61" s="51"/>
      <c r="G61" s="49"/>
      <c r="H61" s="50"/>
      <c r="I61" s="51"/>
      <c r="K61" s="52"/>
      <c r="L61" s="58" t="s">
        <v>97</v>
      </c>
      <c r="M61" s="42"/>
      <c r="N61" s="59"/>
      <c r="O61" s="48"/>
      <c r="P61" s="48"/>
      <c r="Q61" s="42"/>
    </row>
    <row r="62">
      <c r="A62" s="3"/>
      <c r="B62" s="53"/>
      <c r="C62" s="54"/>
      <c r="D62" s="3"/>
      <c r="E62" s="53"/>
      <c r="F62" s="54"/>
      <c r="G62" s="3"/>
      <c r="H62" s="53"/>
      <c r="I62" s="54"/>
      <c r="J62" s="56"/>
      <c r="K62" s="57"/>
      <c r="L62" s="55"/>
      <c r="M62" s="54"/>
      <c r="N62" s="53"/>
      <c r="O62" s="55"/>
      <c r="P62" s="55"/>
      <c r="Q62" s="54"/>
    </row>
    <row r="63">
      <c r="A63" s="40">
        <v>46023.0</v>
      </c>
      <c r="B63" s="43"/>
      <c r="C63" s="42"/>
      <c r="D63" s="40">
        <v>46023.0</v>
      </c>
      <c r="E63" s="43"/>
      <c r="F63" s="42"/>
      <c r="G63" s="40">
        <v>46023.0</v>
      </c>
      <c r="H63" s="43"/>
      <c r="I63" s="42"/>
      <c r="J63" s="60" t="s">
        <v>98</v>
      </c>
      <c r="K63" s="45"/>
      <c r="L63" s="58" t="s">
        <v>99</v>
      </c>
      <c r="M63" s="42"/>
      <c r="N63" s="59"/>
      <c r="O63" s="48"/>
      <c r="P63" s="48"/>
      <c r="Q63" s="42"/>
    </row>
    <row r="64">
      <c r="A64" s="49"/>
      <c r="B64" s="50"/>
      <c r="C64" s="51"/>
      <c r="D64" s="49"/>
      <c r="E64" s="50"/>
      <c r="F64" s="51"/>
      <c r="G64" s="49"/>
      <c r="H64" s="50"/>
      <c r="I64" s="51"/>
      <c r="K64" s="52"/>
      <c r="M64" s="51"/>
      <c r="N64" s="50"/>
      <c r="Q64" s="51"/>
    </row>
    <row r="65">
      <c r="A65" s="49"/>
      <c r="B65" s="50"/>
      <c r="C65" s="51"/>
      <c r="D65" s="49"/>
      <c r="E65" s="50"/>
      <c r="F65" s="51"/>
      <c r="G65" s="49"/>
      <c r="H65" s="50"/>
      <c r="I65" s="51"/>
      <c r="K65" s="52"/>
      <c r="M65" s="51"/>
      <c r="N65" s="50"/>
      <c r="Q65" s="51"/>
    </row>
    <row r="66">
      <c r="A66" s="3"/>
      <c r="B66" s="53"/>
      <c r="C66" s="54"/>
      <c r="D66" s="3"/>
      <c r="E66" s="53"/>
      <c r="F66" s="54"/>
      <c r="G66" s="3"/>
      <c r="H66" s="53"/>
      <c r="I66" s="54"/>
      <c r="J66" s="56"/>
      <c r="K66" s="57"/>
      <c r="L66" s="55"/>
      <c r="M66" s="54"/>
      <c r="N66" s="53"/>
      <c r="O66" s="55"/>
      <c r="P66" s="55"/>
      <c r="Q66" s="54"/>
    </row>
  </sheetData>
  <mergeCells count="142">
    <mergeCell ref="F19:G19"/>
    <mergeCell ref="F20:G20"/>
    <mergeCell ref="L20:M20"/>
    <mergeCell ref="F21:G21"/>
    <mergeCell ref="L21:M21"/>
    <mergeCell ref="F22:G22"/>
    <mergeCell ref="F23:G23"/>
    <mergeCell ref="F24:G24"/>
    <mergeCell ref="L24:M24"/>
    <mergeCell ref="F25:G25"/>
    <mergeCell ref="L25:M25"/>
    <mergeCell ref="F26:G26"/>
    <mergeCell ref="L26:M26"/>
    <mergeCell ref="L27:M27"/>
    <mergeCell ref="O1:O2"/>
    <mergeCell ref="P1:P2"/>
    <mergeCell ref="Q1:Q2"/>
    <mergeCell ref="H1:H2"/>
    <mergeCell ref="I1:I2"/>
    <mergeCell ref="J1:J2"/>
    <mergeCell ref="K1:K2"/>
    <mergeCell ref="L1:L2"/>
    <mergeCell ref="M1:M2"/>
    <mergeCell ref="N1:N2"/>
    <mergeCell ref="A1:A2"/>
    <mergeCell ref="B1:B2"/>
    <mergeCell ref="C1:C2"/>
    <mergeCell ref="D1:D2"/>
    <mergeCell ref="E1:E2"/>
    <mergeCell ref="F1:F2"/>
    <mergeCell ref="G1:G2"/>
    <mergeCell ref="A18:A19"/>
    <mergeCell ref="B18:B19"/>
    <mergeCell ref="C18:C19"/>
    <mergeCell ref="D18:D19"/>
    <mergeCell ref="E18:E19"/>
    <mergeCell ref="F18:Q18"/>
    <mergeCell ref="L19:M19"/>
    <mergeCell ref="L22:M22"/>
    <mergeCell ref="L23:M23"/>
    <mergeCell ref="L28:M28"/>
    <mergeCell ref="L29:M29"/>
    <mergeCell ref="L30:M30"/>
    <mergeCell ref="L31:M31"/>
    <mergeCell ref="L32:M32"/>
    <mergeCell ref="L33:M33"/>
    <mergeCell ref="J34:K34"/>
    <mergeCell ref="L34:Q34"/>
    <mergeCell ref="F27:G27"/>
    <mergeCell ref="F28:G28"/>
    <mergeCell ref="F29:G29"/>
    <mergeCell ref="F30:G30"/>
    <mergeCell ref="F31:G31"/>
    <mergeCell ref="F32:G32"/>
    <mergeCell ref="F33:G33"/>
    <mergeCell ref="A43:A46"/>
    <mergeCell ref="B47:C50"/>
    <mergeCell ref="D47:D50"/>
    <mergeCell ref="E47:F50"/>
    <mergeCell ref="G47:G50"/>
    <mergeCell ref="H47:I50"/>
    <mergeCell ref="J47:K50"/>
    <mergeCell ref="A47:A50"/>
    <mergeCell ref="B51:C54"/>
    <mergeCell ref="D51:D54"/>
    <mergeCell ref="E51:F54"/>
    <mergeCell ref="G51:G54"/>
    <mergeCell ref="H51:I54"/>
    <mergeCell ref="J51:K54"/>
    <mergeCell ref="L39:M40"/>
    <mergeCell ref="N39:Q40"/>
    <mergeCell ref="N41:Q42"/>
    <mergeCell ref="L43:M44"/>
    <mergeCell ref="N43:Q44"/>
    <mergeCell ref="L45:M46"/>
    <mergeCell ref="N45:Q46"/>
    <mergeCell ref="L47:M48"/>
    <mergeCell ref="N47:Q48"/>
    <mergeCell ref="L49:M50"/>
    <mergeCell ref="N49:Q50"/>
    <mergeCell ref="L51:M52"/>
    <mergeCell ref="N51:Q52"/>
    <mergeCell ref="N53:Q54"/>
    <mergeCell ref="A51:A54"/>
    <mergeCell ref="B55:C58"/>
    <mergeCell ref="D55:D58"/>
    <mergeCell ref="E55:F58"/>
    <mergeCell ref="G55:G58"/>
    <mergeCell ref="H55:I58"/>
    <mergeCell ref="J55:K58"/>
    <mergeCell ref="A55:A58"/>
    <mergeCell ref="B59:C62"/>
    <mergeCell ref="D59:D62"/>
    <mergeCell ref="E59:F62"/>
    <mergeCell ref="G59:G62"/>
    <mergeCell ref="H59:I62"/>
    <mergeCell ref="J59:K62"/>
    <mergeCell ref="J35:K38"/>
    <mergeCell ref="L35:M36"/>
    <mergeCell ref="N35:Q36"/>
    <mergeCell ref="L37:M38"/>
    <mergeCell ref="N37:Q38"/>
    <mergeCell ref="A34:I34"/>
    <mergeCell ref="A35:A38"/>
    <mergeCell ref="B35:C38"/>
    <mergeCell ref="D35:D38"/>
    <mergeCell ref="E35:F38"/>
    <mergeCell ref="G35:G38"/>
    <mergeCell ref="H35:I38"/>
    <mergeCell ref="B39:C42"/>
    <mergeCell ref="D39:D42"/>
    <mergeCell ref="E39:F42"/>
    <mergeCell ref="G39:G42"/>
    <mergeCell ref="H39:I42"/>
    <mergeCell ref="J39:K42"/>
    <mergeCell ref="L41:M42"/>
    <mergeCell ref="A39:A42"/>
    <mergeCell ref="B43:C46"/>
    <mergeCell ref="D43:D46"/>
    <mergeCell ref="E43:F46"/>
    <mergeCell ref="G43:G46"/>
    <mergeCell ref="H43:I46"/>
    <mergeCell ref="J43:K46"/>
    <mergeCell ref="L53:M54"/>
    <mergeCell ref="L55:M56"/>
    <mergeCell ref="L57:M58"/>
    <mergeCell ref="L59:M60"/>
    <mergeCell ref="L61:M62"/>
    <mergeCell ref="L63:M66"/>
    <mergeCell ref="N55:Q56"/>
    <mergeCell ref="N57:Q58"/>
    <mergeCell ref="N59:Q60"/>
    <mergeCell ref="N61:Q62"/>
    <mergeCell ref="N63:Q66"/>
    <mergeCell ref="A59:A62"/>
    <mergeCell ref="A63:A66"/>
    <mergeCell ref="B63:C66"/>
    <mergeCell ref="D63:D66"/>
    <mergeCell ref="E63:F66"/>
    <mergeCell ref="G63:G66"/>
    <mergeCell ref="H63:I66"/>
    <mergeCell ref="J63:K66"/>
  </mergeCells>
  <dataValidations>
    <dataValidation type="list" allowBlank="1" showErrorMessage="1" sqref="B6:Q6">
      <formula1>"MAIN,2ND TIER,MAYBE,NOT DOING,FUN"</formula1>
    </dataValidation>
    <dataValidation type="list" allowBlank="1" showErrorMessage="1" sqref="J20:J33 P20:P33">
      <formula1>"Yes,No,DEBUT"</formula1>
    </dataValidation>
    <dataValidation type="list" allowBlank="1" showErrorMessage="1" sqref="B7:Q7">
      <formula1>"Trail,100 Mile,100k,50 Mile,50k,Marathon,30k,25k,Half Marathon,10 Mile,15k,10k,8k,5k,2 Mile,1 Mile,Other"</formula1>
    </dataValidation>
    <dataValidation type="list" allowBlank="1" showErrorMessage="1" sqref="B14:Q14">
      <formula1>"Yes,No"</formula1>
    </dataValidation>
    <dataValidation type="list" allowBlank="1" showErrorMessage="1" sqref="B15:Q15">
      <formula1>"Crazy Hilly,Hilly,Semi-Hilly,Semi-Flat,Flat,Downhill,Crazy Downhill"</formula1>
    </dataValidation>
  </dataValidations>
  <hyperlinks>
    <hyperlink r:id="rId1" ref="C16"/>
    <hyperlink r:id="rId2" ref="E16"/>
    <hyperlink r:id="rId3" ref="J35"/>
    <hyperlink r:id="rId4" ref="J39"/>
  </hyperlinks>
  <printOptions gridLines="1" horizontalCentered="1"/>
  <pageMargins bottom="0.75" footer="0.0" header="0.0" left="0.7" right="0.7" top="0.75"/>
  <pageSetup fitToHeight="0" cellComments="atEnd" orientation="landscape" pageOrder="overThenDown"/>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16.13"/>
    <col customWidth="1" min="2" max="2" width="24.0"/>
    <col customWidth="1" min="3" max="3" width="15.75"/>
    <col customWidth="1" min="4" max="4" width="16.0"/>
    <col customWidth="1" min="5" max="5" width="13.5"/>
    <col customWidth="1" min="6" max="6" width="19.0"/>
    <col customWidth="1" min="7" max="7" width="16.38"/>
    <col customWidth="1" min="8" max="8" width="21.88"/>
    <col customWidth="1" min="9" max="9" width="28.25"/>
    <col customWidth="1" min="10" max="10" width="3.88"/>
    <col customWidth="1" min="11" max="11" width="14.25"/>
    <col customWidth="1" min="12" max="12" width="22.63"/>
    <col customWidth="1" min="13" max="13" width="13.88"/>
    <col customWidth="1" min="16" max="16" width="14.75"/>
    <col customWidth="1" min="18" max="18" width="20.63"/>
    <col customWidth="1" min="19" max="19" width="24.5"/>
  </cols>
  <sheetData>
    <row r="1">
      <c r="A1" s="62" t="s">
        <v>100</v>
      </c>
      <c r="B1" s="42"/>
      <c r="C1" s="63" t="s">
        <v>101</v>
      </c>
      <c r="D1" s="64">
        <v>46023.0</v>
      </c>
      <c r="E1" s="65" t="s">
        <v>102</v>
      </c>
      <c r="F1" s="24"/>
      <c r="G1" s="66"/>
      <c r="H1" s="23"/>
      <c r="I1" s="24"/>
      <c r="J1" s="67"/>
      <c r="K1" s="62" t="s">
        <v>103</v>
      </c>
      <c r="L1" s="42"/>
      <c r="M1" s="63" t="s">
        <v>101</v>
      </c>
      <c r="N1" s="64">
        <v>46023.0</v>
      </c>
      <c r="O1" s="65" t="s">
        <v>102</v>
      </c>
      <c r="P1" s="24"/>
      <c r="Q1" s="66"/>
      <c r="R1" s="23"/>
      <c r="S1" s="24"/>
    </row>
    <row r="2">
      <c r="A2" s="68"/>
      <c r="B2" s="54"/>
      <c r="C2" s="3"/>
      <c r="D2" s="3"/>
      <c r="E2" s="65" t="s">
        <v>104</v>
      </c>
      <c r="F2" s="24"/>
      <c r="G2" s="66"/>
      <c r="H2" s="23"/>
      <c r="I2" s="24"/>
      <c r="J2" s="67"/>
      <c r="K2" s="50"/>
      <c r="L2" s="51"/>
      <c r="M2" s="3"/>
      <c r="N2" s="3"/>
      <c r="O2" s="65" t="s">
        <v>104</v>
      </c>
      <c r="P2" s="24"/>
      <c r="Q2" s="66"/>
      <c r="R2" s="23"/>
      <c r="S2" s="24"/>
    </row>
    <row r="3" ht="22.5" customHeight="1" collapsed="1">
      <c r="A3" s="69" t="s">
        <v>105</v>
      </c>
      <c r="B3" s="69" t="s">
        <v>106</v>
      </c>
      <c r="C3" s="69" t="s">
        <v>107</v>
      </c>
      <c r="D3" s="69" t="s">
        <v>108</v>
      </c>
      <c r="E3" s="69" t="s">
        <v>109</v>
      </c>
      <c r="F3" s="69" t="s">
        <v>110</v>
      </c>
      <c r="G3" s="69" t="s">
        <v>111</v>
      </c>
      <c r="H3" s="69" t="s">
        <v>112</v>
      </c>
      <c r="I3" s="69" t="s">
        <v>22</v>
      </c>
      <c r="J3" s="70"/>
      <c r="K3" s="71" t="s">
        <v>105</v>
      </c>
      <c r="L3" s="71" t="s">
        <v>106</v>
      </c>
      <c r="M3" s="71" t="s">
        <v>107</v>
      </c>
      <c r="N3" s="71" t="s">
        <v>108</v>
      </c>
      <c r="O3" s="71" t="s">
        <v>109</v>
      </c>
      <c r="P3" s="71" t="s">
        <v>110</v>
      </c>
      <c r="Q3" s="71" t="s">
        <v>111</v>
      </c>
      <c r="R3" s="71" t="s">
        <v>112</v>
      </c>
      <c r="S3" s="71" t="s">
        <v>22</v>
      </c>
    </row>
    <row r="4" ht="22.5" hidden="1" customHeight="1" outlineLevel="1">
      <c r="A4" s="72"/>
      <c r="B4" s="73"/>
      <c r="C4" s="74"/>
      <c r="D4" s="75"/>
      <c r="E4" s="76"/>
      <c r="F4" s="75">
        <f>SUM(E4)</f>
        <v>0</v>
      </c>
      <c r="G4" s="76"/>
      <c r="H4" s="77"/>
      <c r="I4" s="78"/>
      <c r="J4" s="79"/>
      <c r="K4" s="72"/>
      <c r="L4" s="80"/>
      <c r="M4" s="74"/>
      <c r="N4" s="80"/>
      <c r="O4" s="74"/>
      <c r="P4" s="81">
        <f>SUM(O4)</f>
        <v>0</v>
      </c>
      <c r="Q4" s="74"/>
      <c r="R4" s="77"/>
      <c r="S4" s="82"/>
    </row>
    <row r="5" ht="22.5" hidden="1" customHeight="1" outlineLevel="1">
      <c r="A5" s="83"/>
      <c r="B5" s="84"/>
      <c r="C5" s="74"/>
      <c r="D5" s="75"/>
      <c r="E5" s="76"/>
      <c r="F5" s="75">
        <f>SUM(E4:E5)</f>
        <v>0</v>
      </c>
      <c r="G5" s="76"/>
      <c r="H5" s="77"/>
      <c r="I5" s="78"/>
      <c r="J5" s="85"/>
      <c r="K5" s="72"/>
      <c r="L5" s="80"/>
      <c r="M5" s="74"/>
      <c r="N5" s="80"/>
      <c r="O5" s="74"/>
      <c r="P5" s="81">
        <f>SUM(O4:O5)</f>
        <v>0</v>
      </c>
      <c r="Q5" s="74"/>
      <c r="R5" s="77"/>
      <c r="S5" s="82"/>
    </row>
    <row r="6" ht="22.5" hidden="1" customHeight="1" outlineLevel="1">
      <c r="A6" s="83"/>
      <c r="B6" s="73"/>
      <c r="C6" s="74"/>
      <c r="D6" s="75"/>
      <c r="E6" s="76"/>
      <c r="F6" s="75">
        <f>SUM(E4:E6)</f>
        <v>0</v>
      </c>
      <c r="G6" s="76"/>
      <c r="H6" s="77"/>
      <c r="I6" s="78"/>
      <c r="J6" s="86"/>
      <c r="K6" s="72"/>
      <c r="L6" s="80"/>
      <c r="M6" s="74"/>
      <c r="N6" s="80"/>
      <c r="O6" s="74"/>
      <c r="P6" s="81">
        <f>SUM(O4:O6)</f>
        <v>0</v>
      </c>
      <c r="Q6" s="74"/>
      <c r="R6" s="77"/>
      <c r="S6" s="82"/>
    </row>
    <row r="7" ht="22.5" hidden="1" customHeight="1" outlineLevel="1">
      <c r="A7" s="83"/>
      <c r="B7" s="84"/>
      <c r="C7" s="74"/>
      <c r="D7" s="75"/>
      <c r="E7" s="76"/>
      <c r="F7" s="75">
        <f>SUM(E4:E7)</f>
        <v>0</v>
      </c>
      <c r="G7" s="76"/>
      <c r="H7" s="77"/>
      <c r="I7" s="78"/>
      <c r="J7" s="85"/>
      <c r="K7" s="72"/>
      <c r="L7" s="80"/>
      <c r="M7" s="74"/>
      <c r="N7" s="80"/>
      <c r="O7" s="74"/>
      <c r="P7" s="81">
        <f>SUM(O4:O7)</f>
        <v>0</v>
      </c>
      <c r="Q7" s="74"/>
      <c r="R7" s="77"/>
      <c r="S7" s="82"/>
    </row>
    <row r="8" ht="22.5" hidden="1" customHeight="1" outlineLevel="1">
      <c r="A8" s="83"/>
      <c r="B8" s="73"/>
      <c r="C8" s="74"/>
      <c r="D8" s="75"/>
      <c r="E8" s="76"/>
      <c r="F8" s="75">
        <f>SUM(E4:E8)</f>
        <v>0</v>
      </c>
      <c r="G8" s="76"/>
      <c r="H8" s="77"/>
      <c r="I8" s="78"/>
      <c r="J8" s="85"/>
      <c r="K8" s="72"/>
      <c r="L8" s="80"/>
      <c r="M8" s="74"/>
      <c r="N8" s="80"/>
      <c r="O8" s="74"/>
      <c r="P8" s="81">
        <f>SUM(O4:O8)</f>
        <v>0</v>
      </c>
      <c r="Q8" s="74"/>
      <c r="R8" s="77"/>
      <c r="S8" s="82"/>
    </row>
    <row r="9" ht="22.5" hidden="1" customHeight="1" outlineLevel="1">
      <c r="A9" s="83"/>
      <c r="B9" s="84"/>
      <c r="C9" s="74"/>
      <c r="D9" s="75"/>
      <c r="E9" s="76"/>
      <c r="F9" s="75">
        <f>SUM(E4:E9)</f>
        <v>0</v>
      </c>
      <c r="G9" s="76"/>
      <c r="H9" s="77"/>
      <c r="I9" s="78"/>
      <c r="J9" s="85"/>
      <c r="K9" s="72"/>
      <c r="L9" s="80"/>
      <c r="M9" s="74"/>
      <c r="N9" s="80"/>
      <c r="O9" s="74"/>
      <c r="P9" s="81">
        <f>SUM(O4:O9)</f>
        <v>0</v>
      </c>
      <c r="Q9" s="74"/>
      <c r="R9" s="77"/>
      <c r="S9" s="82"/>
    </row>
    <row r="10" ht="22.5" hidden="1" customHeight="1" outlineLevel="1">
      <c r="A10" s="83"/>
      <c r="B10" s="73"/>
      <c r="C10" s="74"/>
      <c r="D10" s="75"/>
      <c r="E10" s="76"/>
      <c r="F10" s="75">
        <f>SUM(E4:E10)</f>
        <v>0</v>
      </c>
      <c r="G10" s="76"/>
      <c r="H10" s="77"/>
      <c r="I10" s="78"/>
      <c r="J10" s="85"/>
      <c r="K10" s="72"/>
      <c r="L10" s="80"/>
      <c r="M10" s="74"/>
      <c r="N10" s="80"/>
      <c r="O10" s="74"/>
      <c r="P10" s="81">
        <f>SUM(O4:O10)</f>
        <v>0</v>
      </c>
      <c r="Q10" s="74"/>
      <c r="R10" s="77"/>
      <c r="S10" s="82"/>
    </row>
    <row r="11" ht="22.5" hidden="1" customHeight="1" outlineLevel="1">
      <c r="A11" s="83"/>
      <c r="B11" s="84"/>
      <c r="C11" s="74"/>
      <c r="D11" s="75"/>
      <c r="E11" s="76"/>
      <c r="F11" s="75">
        <f>SUM(E4:E11)</f>
        <v>0</v>
      </c>
      <c r="G11" s="76"/>
      <c r="H11" s="77"/>
      <c r="I11" s="78"/>
      <c r="J11" s="85"/>
      <c r="K11" s="72"/>
      <c r="L11" s="80"/>
      <c r="M11" s="74"/>
      <c r="N11" s="80"/>
      <c r="O11" s="74"/>
      <c r="P11" s="81">
        <f>SUM(O4:O11)</f>
        <v>0</v>
      </c>
      <c r="Q11" s="74"/>
      <c r="R11" s="77"/>
      <c r="S11" s="82"/>
    </row>
    <row r="12" ht="22.5" hidden="1" customHeight="1" outlineLevel="1">
      <c r="A12" s="83"/>
      <c r="B12" s="73"/>
      <c r="C12" s="74"/>
      <c r="D12" s="75"/>
      <c r="E12" s="76"/>
      <c r="F12" s="75">
        <f>SUM(E4:E12)</f>
        <v>0</v>
      </c>
      <c r="G12" s="76"/>
      <c r="H12" s="77"/>
      <c r="I12" s="78"/>
      <c r="J12" s="85"/>
      <c r="K12" s="72"/>
      <c r="L12" s="80"/>
      <c r="M12" s="74"/>
      <c r="N12" s="80"/>
      <c r="O12" s="74"/>
      <c r="P12" s="81">
        <f>SUM(O4:O12)</f>
        <v>0</v>
      </c>
      <c r="Q12" s="74"/>
      <c r="R12" s="77"/>
      <c r="S12" s="82"/>
    </row>
    <row r="13" ht="22.5" hidden="1" customHeight="1" outlineLevel="1">
      <c r="A13" s="83"/>
      <c r="B13" s="84"/>
      <c r="C13" s="74"/>
      <c r="D13" s="75"/>
      <c r="E13" s="76"/>
      <c r="F13" s="75">
        <f>SUM(E4:E13)</f>
        <v>0</v>
      </c>
      <c r="G13" s="76"/>
      <c r="H13" s="77"/>
      <c r="I13" s="78"/>
      <c r="J13" s="85"/>
      <c r="K13" s="72"/>
      <c r="L13" s="80"/>
      <c r="M13" s="74"/>
      <c r="N13" s="80"/>
      <c r="O13" s="74"/>
      <c r="P13" s="81">
        <f>SUM(O4:O13)</f>
        <v>0</v>
      </c>
      <c r="Q13" s="74"/>
      <c r="R13" s="77"/>
      <c r="S13" s="82"/>
    </row>
    <row r="14" ht="22.5" hidden="1" customHeight="1" outlineLevel="1">
      <c r="A14" s="83"/>
      <c r="B14" s="73"/>
      <c r="C14" s="74"/>
      <c r="D14" s="75"/>
      <c r="E14" s="76"/>
      <c r="F14" s="75">
        <f>SUM(E4:E14)</f>
        <v>0</v>
      </c>
      <c r="G14" s="76"/>
      <c r="H14" s="77"/>
      <c r="I14" s="78"/>
      <c r="J14" s="85"/>
      <c r="K14" s="72"/>
      <c r="L14" s="80"/>
      <c r="M14" s="74"/>
      <c r="N14" s="80"/>
      <c r="O14" s="74"/>
      <c r="P14" s="81">
        <f>SUM(O4:O14)</f>
        <v>0</v>
      </c>
      <c r="Q14" s="74"/>
      <c r="R14" s="77"/>
      <c r="S14" s="82"/>
    </row>
    <row r="15" ht="22.5" hidden="1" customHeight="1" outlineLevel="1">
      <c r="A15" s="83"/>
      <c r="B15" s="84"/>
      <c r="C15" s="74"/>
      <c r="D15" s="75"/>
      <c r="E15" s="76"/>
      <c r="F15" s="75">
        <f>SUM(E4:E15)</f>
        <v>0</v>
      </c>
      <c r="G15" s="76"/>
      <c r="H15" s="77"/>
      <c r="I15" s="78"/>
      <c r="J15" s="85"/>
      <c r="K15" s="72"/>
      <c r="L15" s="80"/>
      <c r="M15" s="74"/>
      <c r="N15" s="80"/>
      <c r="O15" s="74"/>
      <c r="P15" s="81">
        <f>SUM(O4:O15)</f>
        <v>0</v>
      </c>
      <c r="Q15" s="74"/>
      <c r="R15" s="77"/>
      <c r="S15" s="82"/>
    </row>
    <row r="16" ht="22.5" hidden="1" customHeight="1" outlineLevel="1">
      <c r="A16" s="83"/>
      <c r="B16" s="73"/>
      <c r="C16" s="74"/>
      <c r="D16" s="75"/>
      <c r="E16" s="76"/>
      <c r="F16" s="75">
        <f>SUM(E4:E16)</f>
        <v>0</v>
      </c>
      <c r="G16" s="76"/>
      <c r="H16" s="77"/>
      <c r="I16" s="78"/>
      <c r="J16" s="85"/>
      <c r="K16" s="72"/>
      <c r="L16" s="80"/>
      <c r="M16" s="74"/>
      <c r="N16" s="80"/>
      <c r="O16" s="74"/>
      <c r="P16" s="81">
        <f>SUM(O4:O16)</f>
        <v>0</v>
      </c>
      <c r="Q16" s="74"/>
      <c r="R16" s="77"/>
      <c r="S16" s="82"/>
    </row>
    <row r="17" ht="22.5" hidden="1" customHeight="1" outlineLevel="1">
      <c r="A17" s="83"/>
      <c r="B17" s="84"/>
      <c r="C17" s="74"/>
      <c r="D17" s="75"/>
      <c r="E17" s="76"/>
      <c r="F17" s="75">
        <f>SUM(E4:E17)</f>
        <v>0</v>
      </c>
      <c r="G17" s="76"/>
      <c r="H17" s="77"/>
      <c r="I17" s="78"/>
      <c r="J17" s="85"/>
      <c r="K17" s="72"/>
      <c r="L17" s="80"/>
      <c r="M17" s="74"/>
      <c r="N17" s="80"/>
      <c r="O17" s="74"/>
      <c r="P17" s="81">
        <f>SUM(O4:O17)</f>
        <v>0</v>
      </c>
      <c r="Q17" s="74"/>
      <c r="R17" s="77"/>
      <c r="S17" s="82"/>
    </row>
    <row r="18" ht="22.5" hidden="1" customHeight="1" outlineLevel="1">
      <c r="A18" s="83"/>
      <c r="B18" s="73"/>
      <c r="C18" s="74"/>
      <c r="D18" s="75"/>
      <c r="E18" s="76"/>
      <c r="F18" s="75">
        <f>SUM(E4:E18)</f>
        <v>0</v>
      </c>
      <c r="G18" s="76"/>
      <c r="H18" s="77"/>
      <c r="I18" s="78"/>
      <c r="J18" s="85"/>
      <c r="K18" s="72"/>
      <c r="L18" s="80"/>
      <c r="M18" s="74"/>
      <c r="N18" s="80"/>
      <c r="O18" s="74"/>
      <c r="P18" s="81">
        <f>SUM(O4:O18)</f>
        <v>0</v>
      </c>
      <c r="Q18" s="74"/>
      <c r="R18" s="77"/>
      <c r="S18" s="82"/>
    </row>
    <row r="19" ht="22.5" hidden="1" customHeight="1" outlineLevel="1">
      <c r="A19" s="72"/>
      <c r="B19" s="73"/>
      <c r="C19" s="74"/>
      <c r="D19" s="75"/>
      <c r="E19" s="76"/>
      <c r="F19" s="75">
        <f>SUM(E4:E19)</f>
        <v>0</v>
      </c>
      <c r="G19" s="76"/>
      <c r="H19" s="77"/>
      <c r="I19" s="78"/>
      <c r="J19" s="85"/>
      <c r="K19" s="72"/>
      <c r="L19" s="80"/>
      <c r="M19" s="74"/>
      <c r="N19" s="80"/>
      <c r="O19" s="74"/>
      <c r="P19" s="81">
        <f>SUM(O4:O19)</f>
        <v>0</v>
      </c>
      <c r="Q19" s="74"/>
      <c r="R19" s="77"/>
      <c r="S19" s="82"/>
    </row>
    <row r="20" ht="22.5" hidden="1" customHeight="1" outlineLevel="1">
      <c r="A20" s="72"/>
      <c r="B20" s="73"/>
      <c r="C20" s="74"/>
      <c r="D20" s="75"/>
      <c r="E20" s="76"/>
      <c r="F20" s="75">
        <f>SUM(E4:E20)</f>
        <v>0</v>
      </c>
      <c r="G20" s="76"/>
      <c r="H20" s="77"/>
      <c r="I20" s="78"/>
      <c r="J20" s="85"/>
      <c r="K20" s="72"/>
      <c r="L20" s="80"/>
      <c r="M20" s="74"/>
      <c r="N20" s="80"/>
      <c r="O20" s="74"/>
      <c r="P20" s="81">
        <f>SUM(O4:O20)</f>
        <v>0</v>
      </c>
      <c r="Q20" s="74"/>
      <c r="R20" s="77"/>
      <c r="S20" s="82"/>
    </row>
    <row r="21" ht="22.5" hidden="1" customHeight="1" outlineLevel="1">
      <c r="A21" s="76"/>
      <c r="B21" s="73"/>
      <c r="C21" s="87"/>
      <c r="D21" s="75"/>
      <c r="E21" s="76"/>
      <c r="F21" s="75">
        <f>SUM(E5:E21,E4)</f>
        <v>0</v>
      </c>
      <c r="G21" s="76"/>
      <c r="H21" s="87"/>
      <c r="I21" s="78"/>
      <c r="J21" s="85"/>
      <c r="K21" s="72"/>
      <c r="L21" s="80"/>
      <c r="M21" s="74"/>
      <c r="N21" s="80"/>
      <c r="O21" s="74"/>
      <c r="P21" s="81">
        <f>SUM(O5:O21,O4)</f>
        <v>0</v>
      </c>
      <c r="Q21" s="74"/>
      <c r="R21" s="77"/>
      <c r="S21" s="82"/>
    </row>
    <row r="22">
      <c r="A22" s="88"/>
      <c r="B22" s="89"/>
      <c r="C22" s="88"/>
      <c r="D22" s="89"/>
      <c r="E22" s="89"/>
      <c r="F22" s="89"/>
      <c r="G22" s="89"/>
      <c r="H22" s="88"/>
      <c r="I22" s="89"/>
      <c r="J22" s="70"/>
      <c r="K22" s="70"/>
      <c r="L22" s="70"/>
      <c r="M22" s="70"/>
      <c r="N22" s="70"/>
      <c r="O22" s="70"/>
      <c r="P22" s="70"/>
      <c r="Q22" s="70"/>
      <c r="R22" s="70"/>
      <c r="S22" s="70"/>
    </row>
    <row r="23">
      <c r="A23" s="90" t="s">
        <v>113</v>
      </c>
      <c r="B23" s="42"/>
      <c r="C23" s="91" t="s">
        <v>101</v>
      </c>
      <c r="D23" s="64">
        <v>46023.0</v>
      </c>
      <c r="E23" s="92" t="s">
        <v>102</v>
      </c>
      <c r="F23" s="24"/>
      <c r="G23" s="66"/>
      <c r="H23" s="23"/>
      <c r="I23" s="24"/>
      <c r="J23" s="67"/>
      <c r="K23" s="62" t="s">
        <v>114</v>
      </c>
      <c r="L23" s="42"/>
      <c r="M23" s="91" t="s">
        <v>101</v>
      </c>
      <c r="N23" s="64">
        <v>46023.0</v>
      </c>
      <c r="O23" s="92" t="s">
        <v>102</v>
      </c>
      <c r="P23" s="24"/>
      <c r="Q23" s="66"/>
      <c r="R23" s="23"/>
      <c r="S23" s="24"/>
    </row>
    <row r="24">
      <c r="A24" s="93"/>
      <c r="C24" s="3"/>
      <c r="D24" s="3"/>
      <c r="E24" s="92" t="s">
        <v>104</v>
      </c>
      <c r="F24" s="24"/>
      <c r="G24" s="66"/>
      <c r="H24" s="23"/>
      <c r="I24" s="24"/>
      <c r="J24" s="67"/>
      <c r="K24" s="50"/>
      <c r="L24" s="51"/>
      <c r="M24" s="3"/>
      <c r="N24" s="3"/>
      <c r="O24" s="92" t="s">
        <v>104</v>
      </c>
      <c r="P24" s="24"/>
      <c r="Q24" s="66"/>
      <c r="R24" s="23"/>
      <c r="S24" s="24"/>
    </row>
    <row r="25" ht="22.5" customHeight="1" collapsed="1">
      <c r="A25" s="69" t="s">
        <v>105</v>
      </c>
      <c r="B25" s="69" t="s">
        <v>106</v>
      </c>
      <c r="C25" s="69" t="s">
        <v>107</v>
      </c>
      <c r="D25" s="69" t="s">
        <v>108</v>
      </c>
      <c r="E25" s="69" t="s">
        <v>109</v>
      </c>
      <c r="F25" s="69" t="s">
        <v>110</v>
      </c>
      <c r="G25" s="69" t="s">
        <v>111</v>
      </c>
      <c r="H25" s="69" t="s">
        <v>112</v>
      </c>
      <c r="I25" s="69" t="s">
        <v>22</v>
      </c>
      <c r="J25" s="70"/>
      <c r="K25" s="94" t="s">
        <v>105</v>
      </c>
      <c r="L25" s="94" t="s">
        <v>106</v>
      </c>
      <c r="M25" s="94" t="s">
        <v>107</v>
      </c>
      <c r="N25" s="94" t="s">
        <v>108</v>
      </c>
      <c r="O25" s="94" t="s">
        <v>109</v>
      </c>
      <c r="P25" s="94" t="s">
        <v>110</v>
      </c>
      <c r="Q25" s="94" t="s">
        <v>111</v>
      </c>
      <c r="R25" s="94" t="s">
        <v>112</v>
      </c>
      <c r="S25" s="94" t="s">
        <v>22</v>
      </c>
    </row>
    <row r="26" ht="22.5" hidden="1" customHeight="1" outlineLevel="1">
      <c r="A26" s="72"/>
      <c r="B26" s="73"/>
      <c r="C26" s="74"/>
      <c r="D26" s="78"/>
      <c r="E26" s="87"/>
      <c r="F26" s="75">
        <f>SUM(E26)</f>
        <v>0</v>
      </c>
      <c r="G26" s="87"/>
      <c r="H26" s="77"/>
      <c r="I26" s="95"/>
      <c r="J26" s="79"/>
      <c r="K26" s="72"/>
      <c r="L26" s="80"/>
      <c r="M26" s="74"/>
      <c r="N26" s="80"/>
      <c r="O26" s="74"/>
      <c r="P26" s="81">
        <f>SUM(O26)</f>
        <v>0</v>
      </c>
      <c r="Q26" s="74"/>
      <c r="R26" s="77"/>
      <c r="S26" s="82"/>
    </row>
    <row r="27" ht="22.5" hidden="1" customHeight="1" outlineLevel="1">
      <c r="A27" s="72"/>
      <c r="B27" s="73"/>
      <c r="C27" s="74"/>
      <c r="D27" s="78"/>
      <c r="E27" s="87"/>
      <c r="F27" s="75">
        <f>SUM(E26:E27)</f>
        <v>0</v>
      </c>
      <c r="G27" s="87"/>
      <c r="H27" s="77"/>
      <c r="I27" s="95"/>
      <c r="J27" s="85"/>
      <c r="K27" s="72"/>
      <c r="L27" s="80"/>
      <c r="M27" s="74"/>
      <c r="N27" s="80"/>
      <c r="O27" s="74"/>
      <c r="P27" s="81">
        <f>SUM(O26:O27)</f>
        <v>0</v>
      </c>
      <c r="Q27" s="74"/>
      <c r="R27" s="77"/>
      <c r="S27" s="82"/>
    </row>
    <row r="28" ht="22.5" hidden="1" customHeight="1" outlineLevel="1">
      <c r="A28" s="72"/>
      <c r="B28" s="73"/>
      <c r="C28" s="74"/>
      <c r="D28" s="78"/>
      <c r="E28" s="87"/>
      <c r="F28" s="75">
        <f>SUM(E26:E28)</f>
        <v>0</v>
      </c>
      <c r="G28" s="87"/>
      <c r="H28" s="77"/>
      <c r="I28" s="95"/>
      <c r="J28" s="86"/>
      <c r="K28" s="72"/>
      <c r="L28" s="80"/>
      <c r="M28" s="74"/>
      <c r="N28" s="80"/>
      <c r="O28" s="74"/>
      <c r="P28" s="81">
        <f>SUM(O26:O28)</f>
        <v>0</v>
      </c>
      <c r="Q28" s="74"/>
      <c r="R28" s="77"/>
      <c r="S28" s="82"/>
    </row>
    <row r="29" ht="22.5" hidden="1" customHeight="1" outlineLevel="1">
      <c r="A29" s="72"/>
      <c r="B29" s="73"/>
      <c r="C29" s="74"/>
      <c r="D29" s="78"/>
      <c r="E29" s="87"/>
      <c r="F29" s="75">
        <f>SUM(E26:E29)</f>
        <v>0</v>
      </c>
      <c r="G29" s="87"/>
      <c r="H29" s="77"/>
      <c r="I29" s="95"/>
      <c r="J29" s="85"/>
      <c r="K29" s="72"/>
      <c r="L29" s="80"/>
      <c r="M29" s="74"/>
      <c r="N29" s="80"/>
      <c r="O29" s="74"/>
      <c r="P29" s="81">
        <f>SUM(O26:O29)</f>
        <v>0</v>
      </c>
      <c r="Q29" s="74"/>
      <c r="R29" s="77"/>
      <c r="S29" s="82"/>
    </row>
    <row r="30" ht="22.5" hidden="1" customHeight="1" outlineLevel="1">
      <c r="A30" s="72"/>
      <c r="B30" s="73"/>
      <c r="C30" s="74"/>
      <c r="D30" s="78"/>
      <c r="E30" s="87"/>
      <c r="F30" s="75">
        <f>SUM(E26:E30)</f>
        <v>0</v>
      </c>
      <c r="G30" s="87"/>
      <c r="H30" s="77"/>
      <c r="I30" s="95"/>
      <c r="J30" s="85"/>
      <c r="K30" s="72"/>
      <c r="L30" s="80"/>
      <c r="M30" s="74"/>
      <c r="N30" s="80"/>
      <c r="O30" s="74"/>
      <c r="P30" s="81">
        <f>SUM(O26:O30)</f>
        <v>0</v>
      </c>
      <c r="Q30" s="74"/>
      <c r="R30" s="77"/>
      <c r="S30" s="82"/>
    </row>
    <row r="31" ht="22.5" hidden="1" customHeight="1" outlineLevel="1">
      <c r="A31" s="72"/>
      <c r="B31" s="73"/>
      <c r="C31" s="74"/>
      <c r="D31" s="78"/>
      <c r="E31" s="87"/>
      <c r="F31" s="75">
        <f>SUM(E26:E31)</f>
        <v>0</v>
      </c>
      <c r="G31" s="87"/>
      <c r="H31" s="77"/>
      <c r="I31" s="95"/>
      <c r="J31" s="85"/>
      <c r="K31" s="72"/>
      <c r="L31" s="80"/>
      <c r="M31" s="74"/>
      <c r="N31" s="80"/>
      <c r="O31" s="74"/>
      <c r="P31" s="81">
        <f>SUM(O26:O31)</f>
        <v>0</v>
      </c>
      <c r="Q31" s="74"/>
      <c r="R31" s="77"/>
      <c r="S31" s="82"/>
    </row>
    <row r="32" ht="22.5" hidden="1" customHeight="1" outlineLevel="1">
      <c r="A32" s="72"/>
      <c r="B32" s="73"/>
      <c r="C32" s="74"/>
      <c r="D32" s="78"/>
      <c r="E32" s="87"/>
      <c r="F32" s="75">
        <f>SUM(E26:E32)</f>
        <v>0</v>
      </c>
      <c r="G32" s="87"/>
      <c r="H32" s="77"/>
      <c r="I32" s="95"/>
      <c r="J32" s="85"/>
      <c r="K32" s="72"/>
      <c r="L32" s="80"/>
      <c r="M32" s="74"/>
      <c r="N32" s="80"/>
      <c r="O32" s="74"/>
      <c r="P32" s="81">
        <f>SUM(O26:O32)</f>
        <v>0</v>
      </c>
      <c r="Q32" s="74"/>
      <c r="R32" s="77"/>
      <c r="S32" s="82"/>
    </row>
    <row r="33" ht="22.5" hidden="1" customHeight="1" outlineLevel="1">
      <c r="A33" s="72"/>
      <c r="B33" s="73"/>
      <c r="C33" s="74"/>
      <c r="D33" s="78"/>
      <c r="E33" s="87"/>
      <c r="F33" s="75">
        <f>SUM(E26:E33)</f>
        <v>0</v>
      </c>
      <c r="G33" s="87"/>
      <c r="H33" s="77"/>
      <c r="I33" s="95"/>
      <c r="J33" s="85"/>
      <c r="K33" s="72"/>
      <c r="L33" s="80"/>
      <c r="M33" s="74"/>
      <c r="N33" s="80"/>
      <c r="O33" s="74"/>
      <c r="P33" s="81">
        <f>SUM(O26:O33)</f>
        <v>0</v>
      </c>
      <c r="Q33" s="74"/>
      <c r="R33" s="77"/>
      <c r="S33" s="82"/>
    </row>
    <row r="34" ht="22.5" hidden="1" customHeight="1" outlineLevel="1">
      <c r="A34" s="72"/>
      <c r="B34" s="73"/>
      <c r="C34" s="74"/>
      <c r="D34" s="78"/>
      <c r="E34" s="87"/>
      <c r="F34" s="75">
        <f>SUM(E26:E34)</f>
        <v>0</v>
      </c>
      <c r="G34" s="87"/>
      <c r="H34" s="77"/>
      <c r="I34" s="95"/>
      <c r="J34" s="85"/>
      <c r="K34" s="72"/>
      <c r="L34" s="80"/>
      <c r="M34" s="74"/>
      <c r="N34" s="80"/>
      <c r="O34" s="74"/>
      <c r="P34" s="81">
        <f>SUM(O26:O34)</f>
        <v>0</v>
      </c>
      <c r="Q34" s="74"/>
      <c r="R34" s="77"/>
      <c r="S34" s="82"/>
    </row>
    <row r="35" ht="22.5" hidden="1" customHeight="1" outlineLevel="1">
      <c r="A35" s="72"/>
      <c r="B35" s="73"/>
      <c r="C35" s="74"/>
      <c r="D35" s="78"/>
      <c r="E35" s="87"/>
      <c r="F35" s="75">
        <f>SUM(E26:E35)</f>
        <v>0</v>
      </c>
      <c r="G35" s="87"/>
      <c r="H35" s="77"/>
      <c r="I35" s="95"/>
      <c r="J35" s="85"/>
      <c r="K35" s="72"/>
      <c r="L35" s="80"/>
      <c r="M35" s="74"/>
      <c r="N35" s="80"/>
      <c r="O35" s="74"/>
      <c r="P35" s="81">
        <f>SUM(O26:O35)</f>
        <v>0</v>
      </c>
      <c r="Q35" s="74"/>
      <c r="R35" s="77"/>
      <c r="S35" s="82"/>
    </row>
    <row r="36" ht="22.5" hidden="1" customHeight="1" outlineLevel="1">
      <c r="A36" s="72"/>
      <c r="B36" s="73"/>
      <c r="C36" s="74"/>
      <c r="D36" s="78"/>
      <c r="E36" s="87"/>
      <c r="F36" s="75">
        <f>SUM(E26:E36)</f>
        <v>0</v>
      </c>
      <c r="G36" s="87"/>
      <c r="H36" s="77"/>
      <c r="I36" s="95"/>
      <c r="J36" s="85"/>
      <c r="K36" s="72"/>
      <c r="L36" s="80"/>
      <c r="M36" s="74"/>
      <c r="N36" s="80"/>
      <c r="O36" s="74"/>
      <c r="P36" s="81">
        <f>SUM(O26:O36)</f>
        <v>0</v>
      </c>
      <c r="Q36" s="74"/>
      <c r="R36" s="77"/>
      <c r="S36" s="82"/>
    </row>
    <row r="37" ht="22.5" hidden="1" customHeight="1" outlineLevel="1">
      <c r="A37" s="72"/>
      <c r="B37" s="73"/>
      <c r="C37" s="74"/>
      <c r="D37" s="78"/>
      <c r="E37" s="87"/>
      <c r="F37" s="75">
        <f>SUM(E26:E37)</f>
        <v>0</v>
      </c>
      <c r="G37" s="87"/>
      <c r="H37" s="77"/>
      <c r="I37" s="95"/>
      <c r="J37" s="85"/>
      <c r="K37" s="72"/>
      <c r="L37" s="80"/>
      <c r="M37" s="74"/>
      <c r="N37" s="80"/>
      <c r="O37" s="74"/>
      <c r="P37" s="81">
        <f>SUM(O26:O37)</f>
        <v>0</v>
      </c>
      <c r="Q37" s="74"/>
      <c r="R37" s="77"/>
      <c r="S37" s="82"/>
    </row>
    <row r="38" ht="22.5" hidden="1" customHeight="1" outlineLevel="1">
      <c r="A38" s="72"/>
      <c r="B38" s="73"/>
      <c r="C38" s="74"/>
      <c r="D38" s="78"/>
      <c r="E38" s="87"/>
      <c r="F38" s="75">
        <f>SUM(E26:E38)</f>
        <v>0</v>
      </c>
      <c r="G38" s="87"/>
      <c r="H38" s="77"/>
      <c r="I38" s="95"/>
      <c r="J38" s="85"/>
      <c r="K38" s="72"/>
      <c r="L38" s="80"/>
      <c r="M38" s="74"/>
      <c r="N38" s="80"/>
      <c r="O38" s="74"/>
      <c r="P38" s="81">
        <f>SUM(O26:O38)</f>
        <v>0</v>
      </c>
      <c r="Q38" s="74"/>
      <c r="R38" s="77"/>
      <c r="S38" s="82"/>
    </row>
    <row r="39" ht="22.5" hidden="1" customHeight="1" outlineLevel="1">
      <c r="A39" s="72"/>
      <c r="B39" s="73"/>
      <c r="C39" s="74"/>
      <c r="D39" s="78"/>
      <c r="E39" s="87"/>
      <c r="F39" s="75">
        <f>SUM(E26:E39)</f>
        <v>0</v>
      </c>
      <c r="G39" s="87"/>
      <c r="H39" s="77"/>
      <c r="I39" s="95"/>
      <c r="J39" s="85"/>
      <c r="K39" s="72"/>
      <c r="L39" s="80"/>
      <c r="M39" s="74"/>
      <c r="N39" s="80"/>
      <c r="O39" s="74"/>
      <c r="P39" s="81">
        <f>SUM(O26:O39)</f>
        <v>0</v>
      </c>
      <c r="Q39" s="74"/>
      <c r="R39" s="77"/>
      <c r="S39" s="82"/>
    </row>
    <row r="40" ht="22.5" hidden="1" customHeight="1" outlineLevel="1">
      <c r="A40" s="72"/>
      <c r="B40" s="73"/>
      <c r="C40" s="74"/>
      <c r="D40" s="78"/>
      <c r="E40" s="87"/>
      <c r="F40" s="75">
        <f>SUM(E26:E40)</f>
        <v>0</v>
      </c>
      <c r="G40" s="87"/>
      <c r="H40" s="77"/>
      <c r="I40" s="95"/>
      <c r="J40" s="85"/>
      <c r="K40" s="72"/>
      <c r="L40" s="80"/>
      <c r="M40" s="74"/>
      <c r="N40" s="80"/>
      <c r="O40" s="74"/>
      <c r="P40" s="81">
        <f>SUM(O26:O40)</f>
        <v>0</v>
      </c>
      <c r="Q40" s="74"/>
      <c r="R40" s="77"/>
      <c r="S40" s="82"/>
    </row>
    <row r="41" ht="22.5" hidden="1" customHeight="1" outlineLevel="1">
      <c r="A41" s="72"/>
      <c r="B41" s="73"/>
      <c r="C41" s="74"/>
      <c r="D41" s="78"/>
      <c r="E41" s="87"/>
      <c r="F41" s="75">
        <f>SUM(E26:E41)</f>
        <v>0</v>
      </c>
      <c r="G41" s="87"/>
      <c r="H41" s="77"/>
      <c r="I41" s="95"/>
      <c r="J41" s="85"/>
      <c r="K41" s="72"/>
      <c r="L41" s="80"/>
      <c r="M41" s="74"/>
      <c r="N41" s="80"/>
      <c r="O41" s="74"/>
      <c r="P41" s="81">
        <f>SUM(O26:O41)</f>
        <v>0</v>
      </c>
      <c r="Q41" s="74"/>
      <c r="R41" s="77"/>
      <c r="S41" s="82"/>
    </row>
    <row r="42" ht="22.5" hidden="1" customHeight="1" outlineLevel="1">
      <c r="A42" s="72"/>
      <c r="B42" s="73"/>
      <c r="C42" s="74"/>
      <c r="D42" s="78"/>
      <c r="E42" s="87"/>
      <c r="F42" s="75">
        <f>SUM(E26:E42)</f>
        <v>0</v>
      </c>
      <c r="G42" s="87"/>
      <c r="H42" s="77"/>
      <c r="I42" s="95"/>
      <c r="J42" s="85"/>
      <c r="K42" s="72"/>
      <c r="L42" s="80"/>
      <c r="M42" s="74"/>
      <c r="N42" s="80"/>
      <c r="O42" s="74"/>
      <c r="P42" s="81">
        <f>SUM(O26:O42)</f>
        <v>0</v>
      </c>
      <c r="Q42" s="74"/>
      <c r="R42" s="77"/>
      <c r="S42" s="82"/>
    </row>
    <row r="43" ht="22.5" hidden="1" customHeight="1" outlineLevel="1">
      <c r="A43" s="72"/>
      <c r="B43" s="73"/>
      <c r="C43" s="74"/>
      <c r="D43" s="78"/>
      <c r="E43" s="87"/>
      <c r="F43" s="75">
        <f>SUM(E27:E43,E26)</f>
        <v>0</v>
      </c>
      <c r="G43" s="87"/>
      <c r="H43" s="77"/>
      <c r="I43" s="95"/>
      <c r="J43" s="85"/>
      <c r="K43" s="72"/>
      <c r="L43" s="80"/>
      <c r="M43" s="74"/>
      <c r="N43" s="80"/>
      <c r="O43" s="74"/>
      <c r="P43" s="81">
        <f>SUM(O27:O43,O26)</f>
        <v>0</v>
      </c>
      <c r="Q43" s="74"/>
      <c r="R43" s="77"/>
      <c r="S43" s="82"/>
    </row>
    <row r="44">
      <c r="A44" s="88"/>
      <c r="B44" s="89"/>
      <c r="C44" s="88"/>
      <c r="D44" s="89"/>
      <c r="E44" s="89"/>
      <c r="F44" s="89"/>
      <c r="G44" s="89"/>
      <c r="H44" s="88"/>
      <c r="I44" s="89"/>
      <c r="J44" s="70"/>
      <c r="K44" s="70"/>
      <c r="L44" s="70"/>
      <c r="M44" s="70"/>
      <c r="N44" s="70"/>
      <c r="O44" s="70"/>
      <c r="P44" s="70"/>
      <c r="Q44" s="70"/>
      <c r="R44" s="70"/>
      <c r="S44" s="70"/>
    </row>
    <row r="45">
      <c r="A45" s="90" t="s">
        <v>115</v>
      </c>
      <c r="B45" s="42"/>
      <c r="C45" s="96" t="s">
        <v>101</v>
      </c>
      <c r="D45" s="64">
        <v>46023.0</v>
      </c>
      <c r="E45" s="97" t="s">
        <v>102</v>
      </c>
      <c r="F45" s="24"/>
      <c r="G45" s="66"/>
      <c r="H45" s="23"/>
      <c r="I45" s="24"/>
      <c r="J45" s="67"/>
      <c r="K45" s="62" t="s">
        <v>116</v>
      </c>
      <c r="L45" s="42"/>
      <c r="M45" s="96" t="s">
        <v>101</v>
      </c>
      <c r="N45" s="64">
        <v>46023.0</v>
      </c>
      <c r="O45" s="97" t="s">
        <v>102</v>
      </c>
      <c r="P45" s="24"/>
      <c r="Q45" s="66"/>
      <c r="R45" s="23"/>
      <c r="S45" s="24"/>
    </row>
    <row r="46">
      <c r="A46" s="93"/>
      <c r="C46" s="3"/>
      <c r="D46" s="3"/>
      <c r="E46" s="97" t="s">
        <v>104</v>
      </c>
      <c r="F46" s="24"/>
      <c r="G46" s="66"/>
      <c r="H46" s="23"/>
      <c r="I46" s="24"/>
      <c r="J46" s="67"/>
      <c r="K46" s="50"/>
      <c r="L46" s="51"/>
      <c r="M46" s="3"/>
      <c r="N46" s="3"/>
      <c r="O46" s="97" t="s">
        <v>104</v>
      </c>
      <c r="P46" s="24"/>
      <c r="Q46" s="66"/>
      <c r="R46" s="23"/>
      <c r="S46" s="24"/>
    </row>
    <row r="47" ht="22.5" customHeight="1" collapsed="1">
      <c r="A47" s="69" t="s">
        <v>105</v>
      </c>
      <c r="B47" s="69" t="s">
        <v>106</v>
      </c>
      <c r="C47" s="69" t="s">
        <v>107</v>
      </c>
      <c r="D47" s="69" t="s">
        <v>108</v>
      </c>
      <c r="E47" s="69" t="s">
        <v>109</v>
      </c>
      <c r="F47" s="69" t="s">
        <v>110</v>
      </c>
      <c r="G47" s="69" t="s">
        <v>111</v>
      </c>
      <c r="H47" s="69" t="s">
        <v>112</v>
      </c>
      <c r="I47" s="69" t="s">
        <v>22</v>
      </c>
      <c r="J47" s="70"/>
      <c r="K47" s="98" t="s">
        <v>105</v>
      </c>
      <c r="L47" s="98" t="s">
        <v>106</v>
      </c>
      <c r="M47" s="98" t="s">
        <v>107</v>
      </c>
      <c r="N47" s="98" t="s">
        <v>108</v>
      </c>
      <c r="O47" s="98" t="s">
        <v>109</v>
      </c>
      <c r="P47" s="98" t="s">
        <v>110</v>
      </c>
      <c r="Q47" s="98" t="s">
        <v>111</v>
      </c>
      <c r="R47" s="98" t="s">
        <v>112</v>
      </c>
      <c r="S47" s="98" t="s">
        <v>22</v>
      </c>
    </row>
    <row r="48" ht="22.5" hidden="1" customHeight="1" outlineLevel="1">
      <c r="A48" s="72"/>
      <c r="B48" s="73"/>
      <c r="C48" s="74"/>
      <c r="D48" s="78"/>
      <c r="E48" s="87"/>
      <c r="F48" s="75">
        <f>SUM(E48)</f>
        <v>0</v>
      </c>
      <c r="G48" s="87"/>
      <c r="H48" s="77"/>
      <c r="I48" s="95"/>
      <c r="J48" s="79"/>
      <c r="K48" s="72"/>
      <c r="L48" s="80"/>
      <c r="M48" s="74"/>
      <c r="N48" s="80"/>
      <c r="O48" s="74"/>
      <c r="P48" s="81">
        <f>SUM(O48)</f>
        <v>0</v>
      </c>
      <c r="Q48" s="74"/>
      <c r="R48" s="77"/>
      <c r="S48" s="82"/>
    </row>
    <row r="49" ht="22.5" hidden="1" customHeight="1" outlineLevel="1">
      <c r="A49" s="72"/>
      <c r="B49" s="73"/>
      <c r="C49" s="74"/>
      <c r="D49" s="78"/>
      <c r="E49" s="87"/>
      <c r="F49" s="75">
        <f>SUM(E48:E49)</f>
        <v>0</v>
      </c>
      <c r="G49" s="87"/>
      <c r="H49" s="77"/>
      <c r="I49" s="95"/>
      <c r="J49" s="85"/>
      <c r="K49" s="72"/>
      <c r="L49" s="80"/>
      <c r="M49" s="74"/>
      <c r="N49" s="80"/>
      <c r="O49" s="74"/>
      <c r="P49" s="81">
        <f>SUM(O48:O49)</f>
        <v>0</v>
      </c>
      <c r="Q49" s="74"/>
      <c r="R49" s="77"/>
      <c r="S49" s="82"/>
    </row>
    <row r="50" ht="22.5" hidden="1" customHeight="1" outlineLevel="1">
      <c r="A50" s="72"/>
      <c r="B50" s="73"/>
      <c r="C50" s="74"/>
      <c r="D50" s="78"/>
      <c r="E50" s="87"/>
      <c r="F50" s="75">
        <f>SUM(E48:E50)</f>
        <v>0</v>
      </c>
      <c r="G50" s="87"/>
      <c r="H50" s="77"/>
      <c r="I50" s="95"/>
      <c r="J50" s="86"/>
      <c r="K50" s="72"/>
      <c r="L50" s="80"/>
      <c r="M50" s="74"/>
      <c r="N50" s="80"/>
      <c r="O50" s="74"/>
      <c r="P50" s="81">
        <f>SUM(O48:O50)</f>
        <v>0</v>
      </c>
      <c r="Q50" s="74"/>
      <c r="R50" s="77"/>
      <c r="S50" s="82"/>
    </row>
    <row r="51" ht="22.5" hidden="1" customHeight="1" outlineLevel="1">
      <c r="A51" s="72"/>
      <c r="B51" s="73"/>
      <c r="C51" s="74"/>
      <c r="D51" s="78"/>
      <c r="E51" s="87"/>
      <c r="F51" s="75">
        <f>SUM(E48:E51)</f>
        <v>0</v>
      </c>
      <c r="G51" s="87"/>
      <c r="H51" s="77"/>
      <c r="I51" s="95"/>
      <c r="J51" s="85"/>
      <c r="K51" s="72"/>
      <c r="L51" s="80"/>
      <c r="M51" s="74"/>
      <c r="N51" s="80"/>
      <c r="O51" s="74"/>
      <c r="P51" s="81">
        <f>SUM(O48:O51)</f>
        <v>0</v>
      </c>
      <c r="Q51" s="74"/>
      <c r="R51" s="77"/>
      <c r="S51" s="82"/>
    </row>
    <row r="52" ht="22.5" hidden="1" customHeight="1" outlineLevel="1">
      <c r="A52" s="72"/>
      <c r="B52" s="73"/>
      <c r="C52" s="74"/>
      <c r="D52" s="78"/>
      <c r="E52" s="87"/>
      <c r="F52" s="75">
        <f>SUM(E48:E52)</f>
        <v>0</v>
      </c>
      <c r="G52" s="87"/>
      <c r="H52" s="77"/>
      <c r="I52" s="95"/>
      <c r="J52" s="85"/>
      <c r="K52" s="72"/>
      <c r="L52" s="80"/>
      <c r="M52" s="74"/>
      <c r="N52" s="80"/>
      <c r="O52" s="74"/>
      <c r="P52" s="81">
        <f>SUM(O48:O52)</f>
        <v>0</v>
      </c>
      <c r="Q52" s="74"/>
      <c r="R52" s="77"/>
      <c r="S52" s="82"/>
    </row>
    <row r="53" ht="22.5" hidden="1" customHeight="1" outlineLevel="1">
      <c r="A53" s="72"/>
      <c r="B53" s="73"/>
      <c r="C53" s="74"/>
      <c r="D53" s="78"/>
      <c r="E53" s="87"/>
      <c r="F53" s="75">
        <f>SUM(E48:E53)</f>
        <v>0</v>
      </c>
      <c r="G53" s="87"/>
      <c r="H53" s="77"/>
      <c r="I53" s="95"/>
      <c r="J53" s="85"/>
      <c r="K53" s="72"/>
      <c r="L53" s="80"/>
      <c r="M53" s="74"/>
      <c r="N53" s="80"/>
      <c r="O53" s="74"/>
      <c r="P53" s="81">
        <f>SUM(O48:O53)</f>
        <v>0</v>
      </c>
      <c r="Q53" s="74"/>
      <c r="R53" s="77"/>
      <c r="S53" s="82"/>
    </row>
    <row r="54" ht="22.5" hidden="1" customHeight="1" outlineLevel="1">
      <c r="A54" s="72"/>
      <c r="B54" s="73"/>
      <c r="C54" s="74"/>
      <c r="D54" s="78"/>
      <c r="E54" s="87"/>
      <c r="F54" s="75">
        <f>SUM(E48:E54)</f>
        <v>0</v>
      </c>
      <c r="G54" s="87"/>
      <c r="H54" s="77"/>
      <c r="I54" s="95"/>
      <c r="J54" s="85"/>
      <c r="K54" s="72"/>
      <c r="L54" s="80"/>
      <c r="M54" s="74"/>
      <c r="N54" s="80"/>
      <c r="O54" s="74"/>
      <c r="P54" s="81">
        <f>SUM(O48:O54)</f>
        <v>0</v>
      </c>
      <c r="Q54" s="74"/>
      <c r="R54" s="77"/>
      <c r="S54" s="82"/>
    </row>
    <row r="55" ht="22.5" hidden="1" customHeight="1" outlineLevel="1">
      <c r="A55" s="72"/>
      <c r="B55" s="73"/>
      <c r="C55" s="74"/>
      <c r="D55" s="78"/>
      <c r="E55" s="87"/>
      <c r="F55" s="75">
        <f>SUM(E48:E55)</f>
        <v>0</v>
      </c>
      <c r="G55" s="87"/>
      <c r="H55" s="77"/>
      <c r="I55" s="95"/>
      <c r="J55" s="85"/>
      <c r="K55" s="72"/>
      <c r="L55" s="80"/>
      <c r="M55" s="74"/>
      <c r="N55" s="80"/>
      <c r="O55" s="74"/>
      <c r="P55" s="81">
        <f>SUM(O48:O55)</f>
        <v>0</v>
      </c>
      <c r="Q55" s="74"/>
      <c r="R55" s="77"/>
      <c r="S55" s="82"/>
    </row>
    <row r="56" ht="22.5" hidden="1" customHeight="1" outlineLevel="1">
      <c r="A56" s="72"/>
      <c r="B56" s="73"/>
      <c r="C56" s="74"/>
      <c r="D56" s="78"/>
      <c r="E56" s="87"/>
      <c r="F56" s="75">
        <f>SUM(E48:E56)</f>
        <v>0</v>
      </c>
      <c r="G56" s="87"/>
      <c r="H56" s="77"/>
      <c r="I56" s="95"/>
      <c r="J56" s="85"/>
      <c r="K56" s="72"/>
      <c r="L56" s="80"/>
      <c r="M56" s="74"/>
      <c r="N56" s="80"/>
      <c r="O56" s="74"/>
      <c r="P56" s="81">
        <f>SUM(O48:O56)</f>
        <v>0</v>
      </c>
      <c r="Q56" s="74"/>
      <c r="R56" s="77"/>
      <c r="S56" s="82"/>
    </row>
    <row r="57" ht="22.5" hidden="1" customHeight="1" outlineLevel="1">
      <c r="A57" s="72"/>
      <c r="B57" s="73"/>
      <c r="C57" s="74"/>
      <c r="D57" s="78"/>
      <c r="E57" s="87"/>
      <c r="F57" s="75">
        <f>SUM(E48:E57)</f>
        <v>0</v>
      </c>
      <c r="G57" s="87"/>
      <c r="H57" s="77"/>
      <c r="I57" s="95"/>
      <c r="J57" s="85"/>
      <c r="K57" s="72"/>
      <c r="L57" s="80"/>
      <c r="M57" s="74"/>
      <c r="N57" s="80"/>
      <c r="O57" s="74"/>
      <c r="P57" s="81">
        <f>SUM(O48:O57)</f>
        <v>0</v>
      </c>
      <c r="Q57" s="74"/>
      <c r="R57" s="77"/>
      <c r="S57" s="82"/>
    </row>
    <row r="58" ht="22.5" hidden="1" customHeight="1" outlineLevel="1">
      <c r="A58" s="72"/>
      <c r="B58" s="73"/>
      <c r="C58" s="74"/>
      <c r="D58" s="78"/>
      <c r="E58" s="87"/>
      <c r="F58" s="75">
        <f>SUM(E48:E58)</f>
        <v>0</v>
      </c>
      <c r="G58" s="87"/>
      <c r="H58" s="77"/>
      <c r="I58" s="95"/>
      <c r="J58" s="85"/>
      <c r="K58" s="72"/>
      <c r="L58" s="80"/>
      <c r="M58" s="74"/>
      <c r="N58" s="80"/>
      <c r="O58" s="74"/>
      <c r="P58" s="81">
        <f>SUM(O48:O58)</f>
        <v>0</v>
      </c>
      <c r="Q58" s="74"/>
      <c r="R58" s="77"/>
      <c r="S58" s="82"/>
    </row>
    <row r="59" ht="22.5" hidden="1" customHeight="1" outlineLevel="1">
      <c r="A59" s="72"/>
      <c r="B59" s="73"/>
      <c r="C59" s="74"/>
      <c r="D59" s="78"/>
      <c r="E59" s="87"/>
      <c r="F59" s="75">
        <f>SUM(E48:E59)</f>
        <v>0</v>
      </c>
      <c r="G59" s="87"/>
      <c r="H59" s="77"/>
      <c r="I59" s="95"/>
      <c r="J59" s="85"/>
      <c r="K59" s="72"/>
      <c r="L59" s="80"/>
      <c r="M59" s="74"/>
      <c r="N59" s="80"/>
      <c r="O59" s="74"/>
      <c r="P59" s="81">
        <f>SUM(O48:O59)</f>
        <v>0</v>
      </c>
      <c r="Q59" s="74"/>
      <c r="R59" s="77"/>
      <c r="S59" s="82"/>
    </row>
    <row r="60" ht="22.5" hidden="1" customHeight="1" outlineLevel="1">
      <c r="A60" s="72"/>
      <c r="B60" s="73"/>
      <c r="C60" s="74"/>
      <c r="D60" s="78"/>
      <c r="E60" s="87"/>
      <c r="F60" s="75">
        <f>SUM(E48:E60)</f>
        <v>0</v>
      </c>
      <c r="G60" s="87"/>
      <c r="H60" s="77"/>
      <c r="I60" s="95"/>
      <c r="J60" s="85"/>
      <c r="K60" s="72"/>
      <c r="L60" s="80"/>
      <c r="M60" s="74"/>
      <c r="N60" s="80"/>
      <c r="O60" s="74"/>
      <c r="P60" s="81">
        <f>SUM(O48:O60)</f>
        <v>0</v>
      </c>
      <c r="Q60" s="74"/>
      <c r="R60" s="77"/>
      <c r="S60" s="82"/>
    </row>
    <row r="61" ht="22.5" hidden="1" customHeight="1" outlineLevel="1">
      <c r="A61" s="72"/>
      <c r="B61" s="73"/>
      <c r="C61" s="74"/>
      <c r="D61" s="78"/>
      <c r="E61" s="87"/>
      <c r="F61" s="75">
        <f>SUM(E48:E61)</f>
        <v>0</v>
      </c>
      <c r="G61" s="87"/>
      <c r="H61" s="77"/>
      <c r="I61" s="95"/>
      <c r="J61" s="85"/>
      <c r="K61" s="72"/>
      <c r="L61" s="80"/>
      <c r="M61" s="74"/>
      <c r="N61" s="80"/>
      <c r="O61" s="74"/>
      <c r="P61" s="81">
        <f>SUM(O48:O61)</f>
        <v>0</v>
      </c>
      <c r="Q61" s="74"/>
      <c r="R61" s="77"/>
      <c r="S61" s="82"/>
    </row>
    <row r="62" ht="22.5" hidden="1" customHeight="1" outlineLevel="1">
      <c r="A62" s="72"/>
      <c r="B62" s="73"/>
      <c r="C62" s="74"/>
      <c r="D62" s="78"/>
      <c r="E62" s="87"/>
      <c r="F62" s="75">
        <f>SUM(E48:E62)</f>
        <v>0</v>
      </c>
      <c r="G62" s="87"/>
      <c r="H62" s="77"/>
      <c r="I62" s="95"/>
      <c r="J62" s="85"/>
      <c r="K62" s="72"/>
      <c r="L62" s="80"/>
      <c r="M62" s="74"/>
      <c r="N62" s="80"/>
      <c r="O62" s="74"/>
      <c r="P62" s="81">
        <f>SUM(O48:O62)</f>
        <v>0</v>
      </c>
      <c r="Q62" s="74"/>
      <c r="R62" s="77"/>
      <c r="S62" s="82"/>
    </row>
    <row r="63" ht="22.5" hidden="1" customHeight="1" outlineLevel="1">
      <c r="A63" s="72"/>
      <c r="B63" s="73"/>
      <c r="C63" s="74"/>
      <c r="D63" s="78"/>
      <c r="E63" s="87"/>
      <c r="F63" s="75">
        <f>SUM(E48:E63)</f>
        <v>0</v>
      </c>
      <c r="G63" s="87"/>
      <c r="H63" s="77"/>
      <c r="I63" s="95"/>
      <c r="J63" s="85"/>
      <c r="K63" s="72"/>
      <c r="L63" s="80"/>
      <c r="M63" s="74"/>
      <c r="N63" s="80"/>
      <c r="O63" s="74"/>
      <c r="P63" s="81">
        <f>SUM(O48:O63)</f>
        <v>0</v>
      </c>
      <c r="Q63" s="74"/>
      <c r="R63" s="77"/>
      <c r="S63" s="82"/>
    </row>
    <row r="64" ht="22.5" hidden="1" customHeight="1" outlineLevel="1">
      <c r="A64" s="72"/>
      <c r="B64" s="73"/>
      <c r="C64" s="74"/>
      <c r="D64" s="78"/>
      <c r="E64" s="87"/>
      <c r="F64" s="75">
        <f>SUM(E48:E64)</f>
        <v>0</v>
      </c>
      <c r="G64" s="87"/>
      <c r="H64" s="77"/>
      <c r="I64" s="95"/>
      <c r="J64" s="85"/>
      <c r="K64" s="72"/>
      <c r="L64" s="80"/>
      <c r="M64" s="74"/>
      <c r="N64" s="80"/>
      <c r="O64" s="74"/>
      <c r="P64" s="81">
        <f>SUM(O48:O64)</f>
        <v>0</v>
      </c>
      <c r="Q64" s="74"/>
      <c r="R64" s="77"/>
      <c r="S64" s="82"/>
    </row>
    <row r="65" ht="22.5" hidden="1" customHeight="1" outlineLevel="1">
      <c r="A65" s="72"/>
      <c r="B65" s="73"/>
      <c r="C65" s="74"/>
      <c r="D65" s="78"/>
      <c r="E65" s="87"/>
      <c r="F65" s="75">
        <f>SUM(E49:E65,E48)</f>
        <v>0</v>
      </c>
      <c r="G65" s="87"/>
      <c r="H65" s="77"/>
      <c r="I65" s="95"/>
      <c r="J65" s="85"/>
      <c r="K65" s="72"/>
      <c r="L65" s="80"/>
      <c r="M65" s="74"/>
      <c r="N65" s="80"/>
      <c r="O65" s="74"/>
      <c r="P65" s="81">
        <f>SUM(O49:O65,O48)</f>
        <v>0</v>
      </c>
      <c r="Q65" s="74"/>
      <c r="R65" s="77"/>
      <c r="S65" s="82"/>
    </row>
    <row r="66">
      <c r="A66" s="88"/>
      <c r="B66" s="89"/>
      <c r="C66" s="88"/>
      <c r="D66" s="89"/>
      <c r="E66" s="89"/>
      <c r="F66" s="89"/>
      <c r="G66" s="89"/>
      <c r="H66" s="88"/>
      <c r="I66" s="89"/>
      <c r="J66" s="70"/>
      <c r="K66" s="70"/>
      <c r="L66" s="70"/>
      <c r="M66" s="70"/>
      <c r="N66" s="70"/>
      <c r="O66" s="70"/>
      <c r="P66" s="70"/>
      <c r="Q66" s="70"/>
      <c r="R66" s="70"/>
      <c r="S66" s="70"/>
    </row>
    <row r="67">
      <c r="A67" s="90" t="s">
        <v>117</v>
      </c>
      <c r="B67" s="42"/>
      <c r="C67" s="99" t="s">
        <v>101</v>
      </c>
      <c r="D67" s="64">
        <v>46023.0</v>
      </c>
      <c r="E67" s="100" t="s">
        <v>102</v>
      </c>
      <c r="F67" s="24"/>
      <c r="G67" s="66"/>
      <c r="H67" s="23"/>
      <c r="I67" s="24"/>
      <c r="J67" s="67"/>
      <c r="K67" s="62" t="s">
        <v>118</v>
      </c>
      <c r="L67" s="42"/>
      <c r="M67" s="99" t="s">
        <v>101</v>
      </c>
      <c r="N67" s="64">
        <v>46023.0</v>
      </c>
      <c r="O67" s="100" t="s">
        <v>102</v>
      </c>
      <c r="P67" s="24"/>
      <c r="Q67" s="66"/>
      <c r="R67" s="23"/>
      <c r="S67" s="24"/>
    </row>
    <row r="68">
      <c r="A68" s="93"/>
      <c r="C68" s="3"/>
      <c r="D68" s="3"/>
      <c r="E68" s="100" t="s">
        <v>104</v>
      </c>
      <c r="F68" s="24"/>
      <c r="G68" s="66"/>
      <c r="H68" s="23"/>
      <c r="I68" s="24"/>
      <c r="J68" s="67"/>
      <c r="K68" s="50"/>
      <c r="L68" s="51"/>
      <c r="M68" s="3"/>
      <c r="N68" s="3"/>
      <c r="O68" s="100" t="s">
        <v>104</v>
      </c>
      <c r="P68" s="24"/>
      <c r="Q68" s="66"/>
      <c r="R68" s="23"/>
      <c r="S68" s="24"/>
    </row>
    <row r="69" ht="22.5" customHeight="1" collapsed="1">
      <c r="A69" s="69" t="s">
        <v>105</v>
      </c>
      <c r="B69" s="69" t="s">
        <v>106</v>
      </c>
      <c r="C69" s="69" t="s">
        <v>107</v>
      </c>
      <c r="D69" s="69" t="s">
        <v>108</v>
      </c>
      <c r="E69" s="69" t="s">
        <v>109</v>
      </c>
      <c r="F69" s="69" t="s">
        <v>110</v>
      </c>
      <c r="G69" s="69" t="s">
        <v>111</v>
      </c>
      <c r="H69" s="69" t="s">
        <v>112</v>
      </c>
      <c r="I69" s="69" t="s">
        <v>22</v>
      </c>
      <c r="J69" s="70"/>
      <c r="K69" s="101" t="s">
        <v>105</v>
      </c>
      <c r="L69" s="101" t="s">
        <v>106</v>
      </c>
      <c r="M69" s="101" t="s">
        <v>107</v>
      </c>
      <c r="N69" s="101" t="s">
        <v>108</v>
      </c>
      <c r="O69" s="101" t="s">
        <v>109</v>
      </c>
      <c r="P69" s="101" t="s">
        <v>110</v>
      </c>
      <c r="Q69" s="101" t="s">
        <v>111</v>
      </c>
      <c r="R69" s="101" t="s">
        <v>112</v>
      </c>
      <c r="S69" s="101" t="s">
        <v>22</v>
      </c>
    </row>
    <row r="70" ht="22.5" hidden="1" customHeight="1" outlineLevel="1">
      <c r="A70" s="72"/>
      <c r="B70" s="73"/>
      <c r="C70" s="74"/>
      <c r="D70" s="78"/>
      <c r="E70" s="87"/>
      <c r="F70" s="75">
        <f>SUM(E70)</f>
        <v>0</v>
      </c>
      <c r="G70" s="87"/>
      <c r="H70" s="77"/>
      <c r="I70" s="95"/>
      <c r="J70" s="79"/>
      <c r="K70" s="72"/>
      <c r="L70" s="80"/>
      <c r="M70" s="74"/>
      <c r="N70" s="80"/>
      <c r="O70" s="74"/>
      <c r="P70" s="81">
        <f>SUM(O70)</f>
        <v>0</v>
      </c>
      <c r="Q70" s="74"/>
      <c r="R70" s="77"/>
      <c r="S70" s="82"/>
    </row>
    <row r="71" ht="22.5" hidden="1" customHeight="1" outlineLevel="1">
      <c r="A71" s="72"/>
      <c r="B71" s="73"/>
      <c r="C71" s="74"/>
      <c r="D71" s="78"/>
      <c r="E71" s="87"/>
      <c r="F71" s="75">
        <f>SUM(E70:E71)</f>
        <v>0</v>
      </c>
      <c r="G71" s="87"/>
      <c r="H71" s="77"/>
      <c r="I71" s="95"/>
      <c r="J71" s="85"/>
      <c r="K71" s="72"/>
      <c r="L71" s="80"/>
      <c r="M71" s="74"/>
      <c r="N71" s="80"/>
      <c r="O71" s="74"/>
      <c r="P71" s="81">
        <f>SUM(O70:O71)</f>
        <v>0</v>
      </c>
      <c r="Q71" s="74"/>
      <c r="R71" s="77"/>
      <c r="S71" s="82"/>
    </row>
    <row r="72" ht="22.5" hidden="1" customHeight="1" outlineLevel="1">
      <c r="A72" s="72"/>
      <c r="B72" s="73"/>
      <c r="C72" s="74"/>
      <c r="D72" s="78"/>
      <c r="E72" s="87"/>
      <c r="F72" s="75">
        <f>SUM(E70:E72)</f>
        <v>0</v>
      </c>
      <c r="G72" s="87"/>
      <c r="H72" s="77"/>
      <c r="I72" s="95"/>
      <c r="J72" s="86"/>
      <c r="K72" s="72"/>
      <c r="L72" s="80"/>
      <c r="M72" s="74"/>
      <c r="N72" s="80"/>
      <c r="O72" s="74"/>
      <c r="P72" s="81">
        <f>SUM(O70:O72)</f>
        <v>0</v>
      </c>
      <c r="Q72" s="74"/>
      <c r="R72" s="77"/>
      <c r="S72" s="82"/>
    </row>
    <row r="73" ht="22.5" hidden="1" customHeight="1" outlineLevel="1">
      <c r="A73" s="72"/>
      <c r="B73" s="73"/>
      <c r="C73" s="74"/>
      <c r="D73" s="78"/>
      <c r="E73" s="87"/>
      <c r="F73" s="75">
        <f>SUM(E70:E73)</f>
        <v>0</v>
      </c>
      <c r="G73" s="87"/>
      <c r="H73" s="77"/>
      <c r="I73" s="95"/>
      <c r="J73" s="85"/>
      <c r="K73" s="72"/>
      <c r="L73" s="80"/>
      <c r="M73" s="74"/>
      <c r="N73" s="80"/>
      <c r="O73" s="74"/>
      <c r="P73" s="81">
        <f>SUM(O70:O73)</f>
        <v>0</v>
      </c>
      <c r="Q73" s="74"/>
      <c r="R73" s="77"/>
      <c r="S73" s="82"/>
    </row>
    <row r="74" ht="22.5" hidden="1" customHeight="1" outlineLevel="1">
      <c r="A74" s="72"/>
      <c r="B74" s="73"/>
      <c r="C74" s="74"/>
      <c r="D74" s="78"/>
      <c r="E74" s="87"/>
      <c r="F74" s="75">
        <f>SUM(E70:E74)</f>
        <v>0</v>
      </c>
      <c r="G74" s="87"/>
      <c r="H74" s="77"/>
      <c r="I74" s="95"/>
      <c r="J74" s="85"/>
      <c r="K74" s="72"/>
      <c r="L74" s="80"/>
      <c r="M74" s="74"/>
      <c r="N74" s="80"/>
      <c r="O74" s="74"/>
      <c r="P74" s="81">
        <f>SUM(O70:O74)</f>
        <v>0</v>
      </c>
      <c r="Q74" s="74"/>
      <c r="R74" s="77"/>
      <c r="S74" s="82"/>
    </row>
    <row r="75" ht="22.5" hidden="1" customHeight="1" outlineLevel="1">
      <c r="A75" s="72"/>
      <c r="B75" s="73"/>
      <c r="C75" s="74"/>
      <c r="D75" s="78"/>
      <c r="E75" s="87"/>
      <c r="F75" s="75">
        <f>SUM(E70:E75)</f>
        <v>0</v>
      </c>
      <c r="G75" s="87"/>
      <c r="H75" s="77"/>
      <c r="I75" s="95"/>
      <c r="J75" s="85"/>
      <c r="K75" s="72"/>
      <c r="L75" s="80"/>
      <c r="M75" s="74"/>
      <c r="N75" s="80"/>
      <c r="O75" s="74"/>
      <c r="P75" s="81">
        <f>SUM(O70:O75)</f>
        <v>0</v>
      </c>
      <c r="Q75" s="74"/>
      <c r="R75" s="77"/>
      <c r="S75" s="82"/>
    </row>
    <row r="76" ht="22.5" hidden="1" customHeight="1" outlineLevel="1">
      <c r="A76" s="72"/>
      <c r="B76" s="73"/>
      <c r="C76" s="74"/>
      <c r="D76" s="78"/>
      <c r="E76" s="87"/>
      <c r="F76" s="75">
        <f>SUM(E70:E76)</f>
        <v>0</v>
      </c>
      <c r="G76" s="87"/>
      <c r="H76" s="77"/>
      <c r="I76" s="95"/>
      <c r="J76" s="85"/>
      <c r="K76" s="72"/>
      <c r="L76" s="80"/>
      <c r="M76" s="74"/>
      <c r="N76" s="80"/>
      <c r="O76" s="74"/>
      <c r="P76" s="81">
        <f>SUM(O70:O76)</f>
        <v>0</v>
      </c>
      <c r="Q76" s="74"/>
      <c r="R76" s="77"/>
      <c r="S76" s="82"/>
    </row>
    <row r="77" ht="22.5" hidden="1" customHeight="1" outlineLevel="1">
      <c r="A77" s="72"/>
      <c r="B77" s="73"/>
      <c r="C77" s="74"/>
      <c r="D77" s="78"/>
      <c r="E77" s="87"/>
      <c r="F77" s="75">
        <f>SUM(E70:E77)</f>
        <v>0</v>
      </c>
      <c r="G77" s="87"/>
      <c r="H77" s="77"/>
      <c r="I77" s="95"/>
      <c r="J77" s="85"/>
      <c r="K77" s="72"/>
      <c r="L77" s="80"/>
      <c r="M77" s="74"/>
      <c r="N77" s="80"/>
      <c r="O77" s="74"/>
      <c r="P77" s="81">
        <f>SUM(O70:O77)</f>
        <v>0</v>
      </c>
      <c r="Q77" s="74"/>
      <c r="R77" s="77"/>
      <c r="S77" s="82"/>
    </row>
    <row r="78" ht="22.5" hidden="1" customHeight="1" outlineLevel="1">
      <c r="A78" s="72"/>
      <c r="B78" s="73"/>
      <c r="C78" s="74"/>
      <c r="D78" s="78"/>
      <c r="E78" s="87"/>
      <c r="F78" s="75">
        <f>SUM(E70:E78)</f>
        <v>0</v>
      </c>
      <c r="G78" s="87"/>
      <c r="H78" s="77"/>
      <c r="I78" s="95"/>
      <c r="J78" s="85"/>
      <c r="K78" s="72"/>
      <c r="L78" s="80"/>
      <c r="M78" s="74"/>
      <c r="N78" s="80"/>
      <c r="O78" s="74"/>
      <c r="P78" s="81">
        <f>SUM(O70:O78)</f>
        <v>0</v>
      </c>
      <c r="Q78" s="74"/>
      <c r="R78" s="77"/>
      <c r="S78" s="82"/>
    </row>
    <row r="79" ht="22.5" hidden="1" customHeight="1" outlineLevel="1">
      <c r="A79" s="72"/>
      <c r="B79" s="73"/>
      <c r="C79" s="74"/>
      <c r="D79" s="78"/>
      <c r="E79" s="87"/>
      <c r="F79" s="75">
        <f>SUM(E70:E79)</f>
        <v>0</v>
      </c>
      <c r="G79" s="87"/>
      <c r="H79" s="77"/>
      <c r="I79" s="95"/>
      <c r="J79" s="85"/>
      <c r="K79" s="72"/>
      <c r="L79" s="80"/>
      <c r="M79" s="74"/>
      <c r="N79" s="80"/>
      <c r="O79" s="74"/>
      <c r="P79" s="81">
        <f>SUM(O70:O79)</f>
        <v>0</v>
      </c>
      <c r="Q79" s="74"/>
      <c r="R79" s="77"/>
      <c r="S79" s="82"/>
    </row>
    <row r="80" ht="22.5" hidden="1" customHeight="1" outlineLevel="1">
      <c r="A80" s="72"/>
      <c r="B80" s="73"/>
      <c r="C80" s="74"/>
      <c r="D80" s="78"/>
      <c r="E80" s="87"/>
      <c r="F80" s="75">
        <f>SUM(E70:E80)</f>
        <v>0</v>
      </c>
      <c r="G80" s="87"/>
      <c r="H80" s="77"/>
      <c r="I80" s="95"/>
      <c r="J80" s="85"/>
      <c r="K80" s="72"/>
      <c r="L80" s="80"/>
      <c r="M80" s="74"/>
      <c r="N80" s="80"/>
      <c r="O80" s="74"/>
      <c r="P80" s="81">
        <f>SUM(O70:O80)</f>
        <v>0</v>
      </c>
      <c r="Q80" s="74"/>
      <c r="R80" s="77"/>
      <c r="S80" s="82"/>
    </row>
    <row r="81" ht="22.5" hidden="1" customHeight="1" outlineLevel="1">
      <c r="A81" s="72"/>
      <c r="B81" s="73"/>
      <c r="C81" s="74"/>
      <c r="D81" s="78"/>
      <c r="E81" s="87"/>
      <c r="F81" s="75">
        <f>SUM(E70:E81)</f>
        <v>0</v>
      </c>
      <c r="G81" s="87"/>
      <c r="H81" s="77"/>
      <c r="I81" s="95"/>
      <c r="J81" s="85"/>
      <c r="K81" s="72"/>
      <c r="L81" s="80"/>
      <c r="M81" s="74"/>
      <c r="N81" s="80"/>
      <c r="O81" s="74"/>
      <c r="P81" s="81">
        <f>SUM(O70:O81)</f>
        <v>0</v>
      </c>
      <c r="Q81" s="74"/>
      <c r="R81" s="77"/>
      <c r="S81" s="82"/>
    </row>
    <row r="82" ht="22.5" hidden="1" customHeight="1" outlineLevel="1">
      <c r="A82" s="72"/>
      <c r="B82" s="73"/>
      <c r="C82" s="74"/>
      <c r="D82" s="78"/>
      <c r="E82" s="87"/>
      <c r="F82" s="75">
        <f>SUM(E70:E82)</f>
        <v>0</v>
      </c>
      <c r="G82" s="87"/>
      <c r="H82" s="77"/>
      <c r="I82" s="95"/>
      <c r="J82" s="85"/>
      <c r="K82" s="72"/>
      <c r="L82" s="80"/>
      <c r="M82" s="74"/>
      <c r="N82" s="80"/>
      <c r="O82" s="74"/>
      <c r="P82" s="81">
        <f>SUM(O70:O82)</f>
        <v>0</v>
      </c>
      <c r="Q82" s="74"/>
      <c r="R82" s="77"/>
      <c r="S82" s="82"/>
    </row>
    <row r="83" ht="22.5" hidden="1" customHeight="1" outlineLevel="1">
      <c r="A83" s="72"/>
      <c r="B83" s="73"/>
      <c r="C83" s="74"/>
      <c r="D83" s="78"/>
      <c r="E83" s="87"/>
      <c r="F83" s="75">
        <f>SUM(E70:E83)</f>
        <v>0</v>
      </c>
      <c r="G83" s="87"/>
      <c r="H83" s="77"/>
      <c r="I83" s="95"/>
      <c r="J83" s="85"/>
      <c r="K83" s="72"/>
      <c r="L83" s="80"/>
      <c r="M83" s="74"/>
      <c r="N83" s="80"/>
      <c r="O83" s="74"/>
      <c r="P83" s="81">
        <f>SUM(O70:O83)</f>
        <v>0</v>
      </c>
      <c r="Q83" s="74"/>
      <c r="R83" s="77"/>
      <c r="S83" s="82"/>
    </row>
    <row r="84" ht="22.5" hidden="1" customHeight="1" outlineLevel="1">
      <c r="A84" s="72"/>
      <c r="B84" s="73"/>
      <c r="C84" s="74"/>
      <c r="D84" s="78"/>
      <c r="E84" s="87"/>
      <c r="F84" s="75">
        <f>SUM(E70:E84)</f>
        <v>0</v>
      </c>
      <c r="G84" s="87"/>
      <c r="H84" s="77"/>
      <c r="I84" s="95"/>
      <c r="J84" s="85"/>
      <c r="K84" s="72"/>
      <c r="L84" s="80"/>
      <c r="M84" s="74"/>
      <c r="N84" s="80"/>
      <c r="O84" s="74"/>
      <c r="P84" s="81">
        <f>SUM(O70:O84)</f>
        <v>0</v>
      </c>
      <c r="Q84" s="74"/>
      <c r="R84" s="77"/>
      <c r="S84" s="82"/>
    </row>
    <row r="85" ht="22.5" hidden="1" customHeight="1" outlineLevel="1">
      <c r="A85" s="72"/>
      <c r="B85" s="73"/>
      <c r="C85" s="74"/>
      <c r="D85" s="78"/>
      <c r="E85" s="87"/>
      <c r="F85" s="75">
        <f>SUM(E70:E85)</f>
        <v>0</v>
      </c>
      <c r="G85" s="87"/>
      <c r="H85" s="77"/>
      <c r="I85" s="95"/>
      <c r="J85" s="85"/>
      <c r="K85" s="72"/>
      <c r="L85" s="80"/>
      <c r="M85" s="74"/>
      <c r="N85" s="80"/>
      <c r="O85" s="74"/>
      <c r="P85" s="81">
        <f>SUM(O70:O85)</f>
        <v>0</v>
      </c>
      <c r="Q85" s="74"/>
      <c r="R85" s="77"/>
      <c r="S85" s="82"/>
    </row>
    <row r="86" ht="22.5" hidden="1" customHeight="1" outlineLevel="1">
      <c r="A86" s="72"/>
      <c r="B86" s="73"/>
      <c r="C86" s="74"/>
      <c r="D86" s="78"/>
      <c r="E86" s="87"/>
      <c r="F86" s="75">
        <f>SUM(E70:E86)</f>
        <v>0</v>
      </c>
      <c r="G86" s="87"/>
      <c r="H86" s="77"/>
      <c r="I86" s="95"/>
      <c r="J86" s="85"/>
      <c r="K86" s="72"/>
      <c r="L86" s="80"/>
      <c r="M86" s="74"/>
      <c r="N86" s="80"/>
      <c r="O86" s="74"/>
      <c r="P86" s="81">
        <f>SUM(O70:O86)</f>
        <v>0</v>
      </c>
      <c r="Q86" s="74"/>
      <c r="R86" s="77"/>
      <c r="S86" s="82"/>
    </row>
    <row r="87" ht="22.5" hidden="1" customHeight="1" outlineLevel="1">
      <c r="A87" s="72"/>
      <c r="B87" s="73"/>
      <c r="C87" s="74"/>
      <c r="D87" s="78"/>
      <c r="E87" s="87"/>
      <c r="F87" s="75">
        <f>SUM(E71:E87,E70)</f>
        <v>0</v>
      </c>
      <c r="G87" s="87"/>
      <c r="H87" s="77"/>
      <c r="I87" s="95"/>
      <c r="J87" s="85"/>
      <c r="K87" s="72"/>
      <c r="L87" s="80"/>
      <c r="M87" s="74"/>
      <c r="N87" s="80"/>
      <c r="O87" s="74"/>
      <c r="P87" s="81">
        <f>SUM(O71:O87,O70)</f>
        <v>0</v>
      </c>
      <c r="Q87" s="74"/>
      <c r="R87" s="77"/>
      <c r="S87" s="82"/>
    </row>
    <row r="88">
      <c r="A88" s="88"/>
      <c r="B88" s="89"/>
      <c r="C88" s="88"/>
      <c r="D88" s="89"/>
      <c r="E88" s="89"/>
      <c r="F88" s="89"/>
      <c r="G88" s="89"/>
      <c r="H88" s="88"/>
      <c r="I88" s="89"/>
      <c r="J88" s="70"/>
      <c r="K88" s="70"/>
      <c r="L88" s="70"/>
      <c r="M88" s="70"/>
      <c r="N88" s="70"/>
      <c r="O88" s="70"/>
      <c r="P88" s="70"/>
      <c r="Q88" s="70"/>
      <c r="R88" s="70"/>
      <c r="S88" s="70"/>
    </row>
    <row r="89">
      <c r="A89" s="90" t="s">
        <v>119</v>
      </c>
      <c r="B89" s="42"/>
      <c r="C89" s="102" t="s">
        <v>101</v>
      </c>
      <c r="D89" s="64">
        <v>46023.0</v>
      </c>
      <c r="E89" s="103" t="s">
        <v>102</v>
      </c>
      <c r="F89" s="24"/>
      <c r="G89" s="66"/>
      <c r="H89" s="23"/>
      <c r="I89" s="24"/>
      <c r="J89" s="67"/>
      <c r="K89" s="62" t="s">
        <v>120</v>
      </c>
      <c r="L89" s="42"/>
      <c r="M89" s="102" t="s">
        <v>101</v>
      </c>
      <c r="N89" s="64">
        <v>46023.0</v>
      </c>
      <c r="O89" s="103" t="s">
        <v>102</v>
      </c>
      <c r="P89" s="24"/>
      <c r="Q89" s="66"/>
      <c r="R89" s="23"/>
      <c r="S89" s="24"/>
    </row>
    <row r="90">
      <c r="A90" s="93"/>
      <c r="C90" s="3"/>
      <c r="D90" s="3"/>
      <c r="E90" s="103" t="s">
        <v>104</v>
      </c>
      <c r="F90" s="24"/>
      <c r="G90" s="66"/>
      <c r="H90" s="23"/>
      <c r="I90" s="24"/>
      <c r="J90" s="67"/>
      <c r="K90" s="50"/>
      <c r="L90" s="51"/>
      <c r="M90" s="3"/>
      <c r="N90" s="3"/>
      <c r="O90" s="103" t="s">
        <v>104</v>
      </c>
      <c r="P90" s="24"/>
      <c r="Q90" s="66"/>
      <c r="R90" s="23"/>
      <c r="S90" s="24"/>
    </row>
    <row r="91" ht="22.5" customHeight="1" collapsed="1">
      <c r="A91" s="69" t="s">
        <v>105</v>
      </c>
      <c r="B91" s="69" t="s">
        <v>106</v>
      </c>
      <c r="C91" s="69" t="s">
        <v>107</v>
      </c>
      <c r="D91" s="69" t="s">
        <v>108</v>
      </c>
      <c r="E91" s="69" t="s">
        <v>109</v>
      </c>
      <c r="F91" s="69" t="s">
        <v>110</v>
      </c>
      <c r="G91" s="69" t="s">
        <v>111</v>
      </c>
      <c r="H91" s="69" t="s">
        <v>112</v>
      </c>
      <c r="I91" s="69" t="s">
        <v>22</v>
      </c>
      <c r="J91" s="70"/>
      <c r="K91" s="104" t="s">
        <v>105</v>
      </c>
      <c r="L91" s="104" t="s">
        <v>106</v>
      </c>
      <c r="M91" s="104" t="s">
        <v>107</v>
      </c>
      <c r="N91" s="104" t="s">
        <v>108</v>
      </c>
      <c r="O91" s="104" t="s">
        <v>109</v>
      </c>
      <c r="P91" s="104" t="s">
        <v>110</v>
      </c>
      <c r="Q91" s="104" t="s">
        <v>111</v>
      </c>
      <c r="R91" s="104" t="s">
        <v>112</v>
      </c>
      <c r="S91" s="104" t="s">
        <v>22</v>
      </c>
    </row>
    <row r="92" ht="22.5" hidden="1" customHeight="1" outlineLevel="1">
      <c r="A92" s="72"/>
      <c r="B92" s="73"/>
      <c r="C92" s="74"/>
      <c r="D92" s="78"/>
      <c r="E92" s="87"/>
      <c r="F92" s="75">
        <f>SUM(E92)</f>
        <v>0</v>
      </c>
      <c r="G92" s="87"/>
      <c r="H92" s="77"/>
      <c r="I92" s="95"/>
      <c r="J92" s="79"/>
      <c r="K92" s="72"/>
      <c r="L92" s="80"/>
      <c r="M92" s="74"/>
      <c r="N92" s="80"/>
      <c r="O92" s="74"/>
      <c r="P92" s="81">
        <f>SUM(O92)</f>
        <v>0</v>
      </c>
      <c r="Q92" s="74"/>
      <c r="R92" s="77"/>
      <c r="S92" s="82"/>
    </row>
    <row r="93" ht="22.5" hidden="1" customHeight="1" outlineLevel="1">
      <c r="A93" s="72"/>
      <c r="B93" s="73"/>
      <c r="C93" s="74"/>
      <c r="D93" s="78"/>
      <c r="E93" s="87"/>
      <c r="F93" s="75">
        <f>SUM(E92:E93)</f>
        <v>0</v>
      </c>
      <c r="G93" s="87"/>
      <c r="H93" s="77"/>
      <c r="I93" s="95"/>
      <c r="J93" s="85"/>
      <c r="K93" s="72"/>
      <c r="L93" s="80"/>
      <c r="M93" s="74"/>
      <c r="N93" s="80"/>
      <c r="O93" s="74"/>
      <c r="P93" s="81">
        <f>SUM(O92:O93)</f>
        <v>0</v>
      </c>
      <c r="Q93" s="74"/>
      <c r="R93" s="77"/>
      <c r="S93" s="82"/>
    </row>
    <row r="94" ht="22.5" hidden="1" customHeight="1" outlineLevel="1">
      <c r="A94" s="72"/>
      <c r="B94" s="73"/>
      <c r="C94" s="74"/>
      <c r="D94" s="78"/>
      <c r="E94" s="87"/>
      <c r="F94" s="75">
        <f>SUM(E92:E94)</f>
        <v>0</v>
      </c>
      <c r="G94" s="87"/>
      <c r="H94" s="77"/>
      <c r="I94" s="95"/>
      <c r="J94" s="86"/>
      <c r="K94" s="72"/>
      <c r="L94" s="80"/>
      <c r="M94" s="74"/>
      <c r="N94" s="80"/>
      <c r="O94" s="74"/>
      <c r="P94" s="81">
        <f>SUM(O92:O94)</f>
        <v>0</v>
      </c>
      <c r="Q94" s="74"/>
      <c r="R94" s="77"/>
      <c r="S94" s="82"/>
    </row>
    <row r="95" ht="22.5" hidden="1" customHeight="1" outlineLevel="1">
      <c r="A95" s="72"/>
      <c r="B95" s="73"/>
      <c r="C95" s="74"/>
      <c r="D95" s="78"/>
      <c r="E95" s="87"/>
      <c r="F95" s="75">
        <f>SUM(E92:E95)</f>
        <v>0</v>
      </c>
      <c r="G95" s="87"/>
      <c r="H95" s="77"/>
      <c r="I95" s="95"/>
      <c r="J95" s="85"/>
      <c r="K95" s="72"/>
      <c r="L95" s="80"/>
      <c r="M95" s="74"/>
      <c r="N95" s="80"/>
      <c r="O95" s="74"/>
      <c r="P95" s="81">
        <f>SUM(O92:O95)</f>
        <v>0</v>
      </c>
      <c r="Q95" s="74"/>
      <c r="R95" s="77"/>
      <c r="S95" s="82"/>
    </row>
    <row r="96" ht="22.5" hidden="1" customHeight="1" outlineLevel="1">
      <c r="A96" s="72"/>
      <c r="B96" s="73"/>
      <c r="C96" s="74"/>
      <c r="D96" s="78"/>
      <c r="E96" s="87"/>
      <c r="F96" s="75">
        <f>SUM(E92:E96)</f>
        <v>0</v>
      </c>
      <c r="G96" s="87"/>
      <c r="H96" s="77"/>
      <c r="I96" s="95"/>
      <c r="J96" s="85"/>
      <c r="K96" s="72"/>
      <c r="L96" s="80"/>
      <c r="M96" s="74"/>
      <c r="N96" s="80"/>
      <c r="O96" s="74"/>
      <c r="P96" s="81">
        <f>SUM(O92:O96)</f>
        <v>0</v>
      </c>
      <c r="Q96" s="74"/>
      <c r="R96" s="77"/>
      <c r="S96" s="82"/>
    </row>
    <row r="97" ht="22.5" hidden="1" customHeight="1" outlineLevel="1">
      <c r="A97" s="72"/>
      <c r="B97" s="73"/>
      <c r="C97" s="74"/>
      <c r="D97" s="78"/>
      <c r="E97" s="87"/>
      <c r="F97" s="75">
        <f>SUM(E92:E97)</f>
        <v>0</v>
      </c>
      <c r="G97" s="87"/>
      <c r="H97" s="77"/>
      <c r="I97" s="95"/>
      <c r="J97" s="85"/>
      <c r="K97" s="72"/>
      <c r="L97" s="80"/>
      <c r="M97" s="74"/>
      <c r="N97" s="80"/>
      <c r="O97" s="74"/>
      <c r="P97" s="81">
        <f>SUM(O92:O97)</f>
        <v>0</v>
      </c>
      <c r="Q97" s="74"/>
      <c r="R97" s="77"/>
      <c r="S97" s="82"/>
    </row>
    <row r="98" ht="22.5" hidden="1" customHeight="1" outlineLevel="1">
      <c r="A98" s="72"/>
      <c r="B98" s="73"/>
      <c r="C98" s="74"/>
      <c r="D98" s="78"/>
      <c r="E98" s="87"/>
      <c r="F98" s="75">
        <f>SUM(E92:E98)</f>
        <v>0</v>
      </c>
      <c r="G98" s="87"/>
      <c r="H98" s="77"/>
      <c r="I98" s="95"/>
      <c r="J98" s="85"/>
      <c r="K98" s="72"/>
      <c r="L98" s="80"/>
      <c r="M98" s="74"/>
      <c r="N98" s="80"/>
      <c r="O98" s="74"/>
      <c r="P98" s="81">
        <f>SUM(O92:O98)</f>
        <v>0</v>
      </c>
      <c r="Q98" s="74"/>
      <c r="R98" s="77"/>
      <c r="S98" s="82"/>
    </row>
    <row r="99" ht="22.5" hidden="1" customHeight="1" outlineLevel="1">
      <c r="A99" s="72"/>
      <c r="B99" s="73"/>
      <c r="C99" s="74"/>
      <c r="D99" s="78"/>
      <c r="E99" s="87"/>
      <c r="F99" s="75">
        <f>SUM(E92:E99)</f>
        <v>0</v>
      </c>
      <c r="G99" s="87"/>
      <c r="H99" s="77"/>
      <c r="I99" s="95"/>
      <c r="J99" s="85"/>
      <c r="K99" s="72"/>
      <c r="L99" s="80"/>
      <c r="M99" s="74"/>
      <c r="N99" s="80"/>
      <c r="O99" s="74"/>
      <c r="P99" s="81">
        <f>SUM(O92:O99)</f>
        <v>0</v>
      </c>
      <c r="Q99" s="74"/>
      <c r="R99" s="77"/>
      <c r="S99" s="82"/>
    </row>
    <row r="100" ht="22.5" hidden="1" customHeight="1" outlineLevel="1">
      <c r="A100" s="72"/>
      <c r="B100" s="73"/>
      <c r="C100" s="74"/>
      <c r="D100" s="78"/>
      <c r="E100" s="87"/>
      <c r="F100" s="75">
        <f>SUM(E92:E100)</f>
        <v>0</v>
      </c>
      <c r="G100" s="87"/>
      <c r="H100" s="77"/>
      <c r="I100" s="95"/>
      <c r="J100" s="85"/>
      <c r="K100" s="72"/>
      <c r="L100" s="80"/>
      <c r="M100" s="74"/>
      <c r="N100" s="80"/>
      <c r="O100" s="74"/>
      <c r="P100" s="81">
        <f>SUM(O92:O100)</f>
        <v>0</v>
      </c>
      <c r="Q100" s="74"/>
      <c r="R100" s="77"/>
      <c r="S100" s="82"/>
    </row>
    <row r="101" ht="22.5" hidden="1" customHeight="1" outlineLevel="1">
      <c r="A101" s="72"/>
      <c r="B101" s="73"/>
      <c r="C101" s="74"/>
      <c r="D101" s="78"/>
      <c r="E101" s="87"/>
      <c r="F101" s="75">
        <f>SUM(E92:E101)</f>
        <v>0</v>
      </c>
      <c r="G101" s="87"/>
      <c r="H101" s="77"/>
      <c r="I101" s="95"/>
      <c r="J101" s="85"/>
      <c r="K101" s="72"/>
      <c r="L101" s="80"/>
      <c r="M101" s="74"/>
      <c r="N101" s="80"/>
      <c r="O101" s="74"/>
      <c r="P101" s="81">
        <f>SUM(O92:O101)</f>
        <v>0</v>
      </c>
      <c r="Q101" s="74"/>
      <c r="R101" s="77"/>
      <c r="S101" s="82"/>
    </row>
    <row r="102" ht="22.5" hidden="1" customHeight="1" outlineLevel="1">
      <c r="A102" s="72"/>
      <c r="B102" s="73"/>
      <c r="C102" s="74"/>
      <c r="D102" s="78"/>
      <c r="E102" s="87"/>
      <c r="F102" s="75">
        <f>SUM(E92:E102)</f>
        <v>0</v>
      </c>
      <c r="G102" s="87"/>
      <c r="H102" s="77"/>
      <c r="I102" s="95"/>
      <c r="J102" s="85"/>
      <c r="K102" s="72"/>
      <c r="L102" s="80"/>
      <c r="M102" s="74"/>
      <c r="N102" s="80"/>
      <c r="O102" s="74"/>
      <c r="P102" s="81">
        <f>SUM(O92:O102)</f>
        <v>0</v>
      </c>
      <c r="Q102" s="74"/>
      <c r="R102" s="77"/>
      <c r="S102" s="82"/>
    </row>
    <row r="103" ht="22.5" hidden="1" customHeight="1" outlineLevel="1">
      <c r="A103" s="72"/>
      <c r="B103" s="73"/>
      <c r="C103" s="74"/>
      <c r="D103" s="78"/>
      <c r="E103" s="87"/>
      <c r="F103" s="75">
        <f>SUM(E92:E103)</f>
        <v>0</v>
      </c>
      <c r="G103" s="87"/>
      <c r="H103" s="77"/>
      <c r="I103" s="95"/>
      <c r="J103" s="85"/>
      <c r="K103" s="72"/>
      <c r="L103" s="80"/>
      <c r="M103" s="74"/>
      <c r="N103" s="80"/>
      <c r="O103" s="74"/>
      <c r="P103" s="81">
        <f>SUM(O92:O103)</f>
        <v>0</v>
      </c>
      <c r="Q103" s="74"/>
      <c r="R103" s="77"/>
      <c r="S103" s="82"/>
    </row>
    <row r="104" ht="22.5" hidden="1" customHeight="1" outlineLevel="1">
      <c r="A104" s="72"/>
      <c r="B104" s="73"/>
      <c r="C104" s="74"/>
      <c r="D104" s="78"/>
      <c r="E104" s="87"/>
      <c r="F104" s="75">
        <f>SUM(E92:E104)</f>
        <v>0</v>
      </c>
      <c r="G104" s="87"/>
      <c r="H104" s="77"/>
      <c r="I104" s="95"/>
      <c r="J104" s="85"/>
      <c r="K104" s="72"/>
      <c r="L104" s="80"/>
      <c r="M104" s="74"/>
      <c r="N104" s="80"/>
      <c r="O104" s="74"/>
      <c r="P104" s="81">
        <f>SUM(O92:O104)</f>
        <v>0</v>
      </c>
      <c r="Q104" s="74"/>
      <c r="R104" s="77"/>
      <c r="S104" s="82"/>
    </row>
    <row r="105" ht="22.5" hidden="1" customHeight="1" outlineLevel="1">
      <c r="A105" s="72"/>
      <c r="B105" s="73"/>
      <c r="C105" s="74"/>
      <c r="D105" s="78"/>
      <c r="E105" s="87"/>
      <c r="F105" s="75">
        <f>SUM(E92:E105)</f>
        <v>0</v>
      </c>
      <c r="G105" s="87"/>
      <c r="H105" s="77"/>
      <c r="I105" s="95"/>
      <c r="J105" s="85"/>
      <c r="K105" s="72"/>
      <c r="L105" s="80"/>
      <c r="M105" s="74"/>
      <c r="N105" s="80"/>
      <c r="O105" s="74"/>
      <c r="P105" s="81">
        <f>SUM(O92:O105)</f>
        <v>0</v>
      </c>
      <c r="Q105" s="74"/>
      <c r="R105" s="77"/>
      <c r="S105" s="82"/>
    </row>
    <row r="106" ht="22.5" hidden="1" customHeight="1" outlineLevel="1">
      <c r="A106" s="72"/>
      <c r="B106" s="73"/>
      <c r="C106" s="74"/>
      <c r="D106" s="78"/>
      <c r="E106" s="87"/>
      <c r="F106" s="75">
        <f>SUM(E92:E106)</f>
        <v>0</v>
      </c>
      <c r="G106" s="87"/>
      <c r="H106" s="77"/>
      <c r="I106" s="95"/>
      <c r="J106" s="85"/>
      <c r="K106" s="72"/>
      <c r="L106" s="80"/>
      <c r="M106" s="74"/>
      <c r="N106" s="80"/>
      <c r="O106" s="74"/>
      <c r="P106" s="81">
        <f>SUM(O92:O106)</f>
        <v>0</v>
      </c>
      <c r="Q106" s="74"/>
      <c r="R106" s="77"/>
      <c r="S106" s="82"/>
    </row>
    <row r="107" ht="22.5" hidden="1" customHeight="1" outlineLevel="1">
      <c r="A107" s="72"/>
      <c r="B107" s="73"/>
      <c r="C107" s="74"/>
      <c r="D107" s="78"/>
      <c r="E107" s="87"/>
      <c r="F107" s="75">
        <f>SUM(E92:E107)</f>
        <v>0</v>
      </c>
      <c r="G107" s="87"/>
      <c r="H107" s="77"/>
      <c r="I107" s="95"/>
      <c r="J107" s="85"/>
      <c r="K107" s="72"/>
      <c r="L107" s="80"/>
      <c r="M107" s="74"/>
      <c r="N107" s="80"/>
      <c r="O107" s="74"/>
      <c r="P107" s="81">
        <f>SUM(O92:O107)</f>
        <v>0</v>
      </c>
      <c r="Q107" s="74"/>
      <c r="R107" s="77"/>
      <c r="S107" s="82"/>
    </row>
    <row r="108" ht="22.5" hidden="1" customHeight="1" outlineLevel="1">
      <c r="A108" s="72"/>
      <c r="B108" s="73"/>
      <c r="C108" s="74"/>
      <c r="D108" s="78"/>
      <c r="E108" s="87"/>
      <c r="F108" s="75">
        <f>SUM(E92:E108)</f>
        <v>0</v>
      </c>
      <c r="G108" s="87"/>
      <c r="H108" s="77"/>
      <c r="I108" s="95"/>
      <c r="J108" s="85"/>
      <c r="K108" s="72"/>
      <c r="L108" s="80"/>
      <c r="M108" s="74"/>
      <c r="N108" s="80"/>
      <c r="O108" s="74"/>
      <c r="P108" s="81">
        <f>SUM(O92:O108)</f>
        <v>0</v>
      </c>
      <c r="Q108" s="74"/>
      <c r="R108" s="77"/>
      <c r="S108" s="82"/>
    </row>
    <row r="109" ht="22.5" hidden="1" customHeight="1" outlineLevel="1">
      <c r="A109" s="72"/>
      <c r="B109" s="73"/>
      <c r="C109" s="74"/>
      <c r="D109" s="78"/>
      <c r="E109" s="87"/>
      <c r="F109" s="75">
        <f>SUM(E93:E109,E92)</f>
        <v>0</v>
      </c>
      <c r="G109" s="87"/>
      <c r="H109" s="77"/>
      <c r="I109" s="95"/>
      <c r="J109" s="85"/>
      <c r="K109" s="72"/>
      <c r="L109" s="80"/>
      <c r="M109" s="74"/>
      <c r="N109" s="80"/>
      <c r="O109" s="74"/>
      <c r="P109" s="81">
        <f>SUM(O93:O109,O92)</f>
        <v>0</v>
      </c>
      <c r="Q109" s="74"/>
      <c r="R109" s="77"/>
      <c r="S109" s="82"/>
    </row>
    <row r="110">
      <c r="A110" s="88"/>
      <c r="B110" s="89"/>
      <c r="C110" s="88"/>
      <c r="D110" s="89"/>
      <c r="E110" s="89"/>
      <c r="F110" s="89"/>
      <c r="G110" s="89"/>
      <c r="H110" s="88"/>
      <c r="I110" s="89"/>
      <c r="J110" s="70"/>
      <c r="K110" s="70"/>
      <c r="L110" s="70"/>
      <c r="M110" s="70"/>
      <c r="N110" s="70"/>
      <c r="O110" s="70"/>
      <c r="P110" s="70"/>
      <c r="Q110" s="70"/>
      <c r="R110" s="70"/>
      <c r="S110" s="70"/>
    </row>
    <row r="111">
      <c r="A111" s="90" t="s">
        <v>121</v>
      </c>
      <c r="B111" s="42"/>
      <c r="C111" s="105" t="s">
        <v>101</v>
      </c>
      <c r="D111" s="64">
        <v>46023.0</v>
      </c>
      <c r="E111" s="106" t="s">
        <v>102</v>
      </c>
      <c r="F111" s="24"/>
      <c r="G111" s="66"/>
      <c r="H111" s="23"/>
      <c r="I111" s="24"/>
      <c r="J111" s="67"/>
      <c r="K111" s="62" t="s">
        <v>122</v>
      </c>
      <c r="L111" s="42"/>
      <c r="M111" s="105" t="s">
        <v>101</v>
      </c>
      <c r="N111" s="64">
        <v>46023.0</v>
      </c>
      <c r="O111" s="106" t="s">
        <v>102</v>
      </c>
      <c r="P111" s="24"/>
      <c r="Q111" s="66"/>
      <c r="R111" s="23"/>
      <c r="S111" s="24"/>
    </row>
    <row r="112">
      <c r="A112" s="93"/>
      <c r="C112" s="3"/>
      <c r="D112" s="3"/>
      <c r="E112" s="106" t="s">
        <v>104</v>
      </c>
      <c r="F112" s="24"/>
      <c r="G112" s="66"/>
      <c r="H112" s="23"/>
      <c r="I112" s="24"/>
      <c r="J112" s="67"/>
      <c r="K112" s="50"/>
      <c r="L112" s="51"/>
      <c r="M112" s="3"/>
      <c r="N112" s="3"/>
      <c r="O112" s="106" t="s">
        <v>104</v>
      </c>
      <c r="P112" s="24"/>
      <c r="Q112" s="66"/>
      <c r="R112" s="23"/>
      <c r="S112" s="24"/>
    </row>
    <row r="113" ht="22.5" customHeight="1" collapsed="1">
      <c r="A113" s="69" t="s">
        <v>105</v>
      </c>
      <c r="B113" s="69" t="s">
        <v>106</v>
      </c>
      <c r="C113" s="69" t="s">
        <v>107</v>
      </c>
      <c r="D113" s="69" t="s">
        <v>108</v>
      </c>
      <c r="E113" s="69" t="s">
        <v>109</v>
      </c>
      <c r="F113" s="69" t="s">
        <v>110</v>
      </c>
      <c r="G113" s="69" t="s">
        <v>111</v>
      </c>
      <c r="H113" s="69" t="s">
        <v>112</v>
      </c>
      <c r="I113" s="69" t="s">
        <v>22</v>
      </c>
      <c r="J113" s="70"/>
      <c r="K113" s="107" t="s">
        <v>105</v>
      </c>
      <c r="L113" s="107" t="s">
        <v>106</v>
      </c>
      <c r="M113" s="107" t="s">
        <v>107</v>
      </c>
      <c r="N113" s="107" t="s">
        <v>108</v>
      </c>
      <c r="O113" s="107" t="s">
        <v>109</v>
      </c>
      <c r="P113" s="107" t="s">
        <v>110</v>
      </c>
      <c r="Q113" s="107" t="s">
        <v>111</v>
      </c>
      <c r="R113" s="107" t="s">
        <v>112</v>
      </c>
      <c r="S113" s="107" t="s">
        <v>22</v>
      </c>
    </row>
    <row r="114" ht="22.5" hidden="1" customHeight="1" outlineLevel="1">
      <c r="A114" s="72"/>
      <c r="B114" s="73"/>
      <c r="C114" s="74"/>
      <c r="D114" s="78"/>
      <c r="E114" s="87"/>
      <c r="F114" s="75">
        <f>SUM(E114)</f>
        <v>0</v>
      </c>
      <c r="G114" s="87"/>
      <c r="H114" s="77"/>
      <c r="I114" s="95"/>
      <c r="J114" s="79"/>
      <c r="K114" s="72"/>
      <c r="L114" s="80"/>
      <c r="M114" s="74"/>
      <c r="N114" s="80"/>
      <c r="O114" s="74"/>
      <c r="P114" s="81">
        <f>SUM(O114)</f>
        <v>0</v>
      </c>
      <c r="Q114" s="74"/>
      <c r="R114" s="77"/>
      <c r="S114" s="82"/>
    </row>
    <row r="115" ht="22.5" hidden="1" customHeight="1" outlineLevel="1">
      <c r="A115" s="72"/>
      <c r="B115" s="73"/>
      <c r="C115" s="74"/>
      <c r="D115" s="78"/>
      <c r="E115" s="87"/>
      <c r="F115" s="75">
        <f>SUM(E114:E115)</f>
        <v>0</v>
      </c>
      <c r="G115" s="87"/>
      <c r="H115" s="77"/>
      <c r="I115" s="95"/>
      <c r="J115" s="85"/>
      <c r="K115" s="72"/>
      <c r="L115" s="80"/>
      <c r="M115" s="74"/>
      <c r="N115" s="80"/>
      <c r="O115" s="74"/>
      <c r="P115" s="81">
        <f>SUM(O114:O115)</f>
        <v>0</v>
      </c>
      <c r="Q115" s="74"/>
      <c r="R115" s="77"/>
      <c r="S115" s="82"/>
    </row>
    <row r="116" ht="22.5" hidden="1" customHeight="1" outlineLevel="1">
      <c r="A116" s="72"/>
      <c r="B116" s="73"/>
      <c r="C116" s="74"/>
      <c r="D116" s="78"/>
      <c r="E116" s="87"/>
      <c r="F116" s="75">
        <f>SUM(E114:E116)</f>
        <v>0</v>
      </c>
      <c r="G116" s="87"/>
      <c r="H116" s="77"/>
      <c r="I116" s="95"/>
      <c r="J116" s="86"/>
      <c r="K116" s="72"/>
      <c r="L116" s="80"/>
      <c r="M116" s="74"/>
      <c r="N116" s="80"/>
      <c r="O116" s="74"/>
      <c r="P116" s="81">
        <f>SUM(O114:O116)</f>
        <v>0</v>
      </c>
      <c r="Q116" s="74"/>
      <c r="R116" s="77"/>
      <c r="S116" s="82"/>
    </row>
    <row r="117" ht="22.5" hidden="1" customHeight="1" outlineLevel="1">
      <c r="A117" s="72"/>
      <c r="B117" s="73"/>
      <c r="C117" s="74"/>
      <c r="D117" s="78"/>
      <c r="E117" s="87"/>
      <c r="F117" s="75">
        <f>SUM(E114:E117)</f>
        <v>0</v>
      </c>
      <c r="G117" s="87"/>
      <c r="H117" s="77"/>
      <c r="I117" s="95"/>
      <c r="J117" s="85"/>
      <c r="K117" s="72"/>
      <c r="L117" s="80"/>
      <c r="M117" s="74"/>
      <c r="N117" s="80"/>
      <c r="O117" s="74"/>
      <c r="P117" s="81">
        <f>SUM(O114:O117)</f>
        <v>0</v>
      </c>
      <c r="Q117" s="74"/>
      <c r="R117" s="77"/>
      <c r="S117" s="82"/>
    </row>
    <row r="118" ht="22.5" hidden="1" customHeight="1" outlineLevel="1">
      <c r="A118" s="72"/>
      <c r="B118" s="73"/>
      <c r="C118" s="74"/>
      <c r="D118" s="78"/>
      <c r="E118" s="87"/>
      <c r="F118" s="75">
        <f>SUM(E114:E118)</f>
        <v>0</v>
      </c>
      <c r="G118" s="87"/>
      <c r="H118" s="77"/>
      <c r="I118" s="95"/>
      <c r="J118" s="85"/>
      <c r="K118" s="72"/>
      <c r="L118" s="80"/>
      <c r="M118" s="74"/>
      <c r="N118" s="80"/>
      <c r="O118" s="74"/>
      <c r="P118" s="81">
        <f>SUM(O114:O118)</f>
        <v>0</v>
      </c>
      <c r="Q118" s="74"/>
      <c r="R118" s="77"/>
      <c r="S118" s="82"/>
    </row>
    <row r="119" ht="22.5" hidden="1" customHeight="1" outlineLevel="1">
      <c r="A119" s="72"/>
      <c r="B119" s="73"/>
      <c r="C119" s="74"/>
      <c r="D119" s="78"/>
      <c r="E119" s="87"/>
      <c r="F119" s="75">
        <f>SUM(E114:E119)</f>
        <v>0</v>
      </c>
      <c r="G119" s="87"/>
      <c r="H119" s="77"/>
      <c r="I119" s="95"/>
      <c r="J119" s="85"/>
      <c r="K119" s="72"/>
      <c r="L119" s="80"/>
      <c r="M119" s="74"/>
      <c r="N119" s="80"/>
      <c r="O119" s="74"/>
      <c r="P119" s="81">
        <f>SUM(O114:O119)</f>
        <v>0</v>
      </c>
      <c r="Q119" s="74"/>
      <c r="R119" s="77"/>
      <c r="S119" s="82"/>
    </row>
    <row r="120" ht="22.5" hidden="1" customHeight="1" outlineLevel="1">
      <c r="A120" s="72"/>
      <c r="B120" s="73"/>
      <c r="C120" s="74"/>
      <c r="D120" s="78"/>
      <c r="E120" s="87"/>
      <c r="F120" s="75">
        <f>SUM(E114:E120)</f>
        <v>0</v>
      </c>
      <c r="G120" s="87"/>
      <c r="H120" s="77"/>
      <c r="I120" s="95"/>
      <c r="J120" s="85"/>
      <c r="K120" s="72"/>
      <c r="L120" s="80"/>
      <c r="M120" s="74"/>
      <c r="N120" s="80"/>
      <c r="O120" s="74"/>
      <c r="P120" s="81">
        <f>SUM(O114:O120)</f>
        <v>0</v>
      </c>
      <c r="Q120" s="74"/>
      <c r="R120" s="77"/>
      <c r="S120" s="82"/>
    </row>
    <row r="121" ht="22.5" hidden="1" customHeight="1" outlineLevel="1">
      <c r="A121" s="72"/>
      <c r="B121" s="73"/>
      <c r="C121" s="74"/>
      <c r="D121" s="78"/>
      <c r="E121" s="87"/>
      <c r="F121" s="75">
        <f>SUM(E114:E121)</f>
        <v>0</v>
      </c>
      <c r="G121" s="87"/>
      <c r="H121" s="77"/>
      <c r="I121" s="95"/>
      <c r="J121" s="85"/>
      <c r="K121" s="72"/>
      <c r="L121" s="80"/>
      <c r="M121" s="74"/>
      <c r="N121" s="80"/>
      <c r="O121" s="74"/>
      <c r="P121" s="81">
        <f>SUM(O114:O121)</f>
        <v>0</v>
      </c>
      <c r="Q121" s="74"/>
      <c r="R121" s="77"/>
      <c r="S121" s="82"/>
    </row>
    <row r="122" ht="22.5" hidden="1" customHeight="1" outlineLevel="1">
      <c r="A122" s="72"/>
      <c r="B122" s="73"/>
      <c r="C122" s="74"/>
      <c r="D122" s="78"/>
      <c r="E122" s="87"/>
      <c r="F122" s="75">
        <f>SUM(E114:E122)</f>
        <v>0</v>
      </c>
      <c r="G122" s="87"/>
      <c r="H122" s="77"/>
      <c r="I122" s="95"/>
      <c r="J122" s="85"/>
      <c r="K122" s="72"/>
      <c r="L122" s="80"/>
      <c r="M122" s="74"/>
      <c r="N122" s="80"/>
      <c r="O122" s="74"/>
      <c r="P122" s="81">
        <f>SUM(O114:O122)</f>
        <v>0</v>
      </c>
      <c r="Q122" s="74"/>
      <c r="R122" s="77"/>
      <c r="S122" s="82"/>
    </row>
    <row r="123" ht="22.5" hidden="1" customHeight="1" outlineLevel="1">
      <c r="A123" s="72"/>
      <c r="B123" s="73"/>
      <c r="C123" s="74"/>
      <c r="D123" s="78"/>
      <c r="E123" s="87"/>
      <c r="F123" s="75">
        <f>SUM(E114:E123)</f>
        <v>0</v>
      </c>
      <c r="G123" s="87"/>
      <c r="H123" s="77"/>
      <c r="I123" s="95"/>
      <c r="J123" s="85"/>
      <c r="K123" s="72"/>
      <c r="L123" s="80"/>
      <c r="M123" s="74"/>
      <c r="N123" s="80"/>
      <c r="O123" s="74"/>
      <c r="P123" s="81">
        <f>SUM(O114:O123)</f>
        <v>0</v>
      </c>
      <c r="Q123" s="74"/>
      <c r="R123" s="77"/>
      <c r="S123" s="82"/>
    </row>
    <row r="124" ht="22.5" hidden="1" customHeight="1" outlineLevel="1">
      <c r="A124" s="72"/>
      <c r="B124" s="73"/>
      <c r="C124" s="74"/>
      <c r="D124" s="78"/>
      <c r="E124" s="87"/>
      <c r="F124" s="75">
        <f>SUM(E114:E124)</f>
        <v>0</v>
      </c>
      <c r="G124" s="87"/>
      <c r="H124" s="77"/>
      <c r="I124" s="95"/>
      <c r="J124" s="85"/>
      <c r="K124" s="72"/>
      <c r="L124" s="80"/>
      <c r="M124" s="74"/>
      <c r="N124" s="80"/>
      <c r="O124" s="74"/>
      <c r="P124" s="81">
        <f>SUM(O114:O124)</f>
        <v>0</v>
      </c>
      <c r="Q124" s="74"/>
      <c r="R124" s="77"/>
      <c r="S124" s="82"/>
    </row>
    <row r="125" ht="22.5" hidden="1" customHeight="1" outlineLevel="1">
      <c r="A125" s="72"/>
      <c r="B125" s="73"/>
      <c r="C125" s="74"/>
      <c r="D125" s="78"/>
      <c r="E125" s="87"/>
      <c r="F125" s="75">
        <f>SUM(E114:E125)</f>
        <v>0</v>
      </c>
      <c r="G125" s="87"/>
      <c r="H125" s="77"/>
      <c r="I125" s="95"/>
      <c r="J125" s="85"/>
      <c r="K125" s="72"/>
      <c r="L125" s="80"/>
      <c r="M125" s="74"/>
      <c r="N125" s="80"/>
      <c r="O125" s="74"/>
      <c r="P125" s="81">
        <f>SUM(O114:O125)</f>
        <v>0</v>
      </c>
      <c r="Q125" s="74"/>
      <c r="R125" s="77"/>
      <c r="S125" s="82"/>
    </row>
    <row r="126" ht="22.5" hidden="1" customHeight="1" outlineLevel="1">
      <c r="A126" s="72"/>
      <c r="B126" s="73"/>
      <c r="C126" s="74"/>
      <c r="D126" s="78"/>
      <c r="E126" s="87"/>
      <c r="F126" s="75">
        <f>SUM(E114:E126)</f>
        <v>0</v>
      </c>
      <c r="G126" s="87"/>
      <c r="H126" s="77"/>
      <c r="I126" s="95"/>
      <c r="J126" s="85"/>
      <c r="K126" s="72"/>
      <c r="L126" s="80"/>
      <c r="M126" s="74"/>
      <c r="N126" s="80"/>
      <c r="O126" s="74"/>
      <c r="P126" s="81">
        <f>SUM(O114:O126)</f>
        <v>0</v>
      </c>
      <c r="Q126" s="74"/>
      <c r="R126" s="77"/>
      <c r="S126" s="82"/>
    </row>
    <row r="127" ht="22.5" hidden="1" customHeight="1" outlineLevel="1">
      <c r="A127" s="72"/>
      <c r="B127" s="73"/>
      <c r="C127" s="74"/>
      <c r="D127" s="78"/>
      <c r="E127" s="87"/>
      <c r="F127" s="75">
        <f>SUM(E114:E127)</f>
        <v>0</v>
      </c>
      <c r="G127" s="87"/>
      <c r="H127" s="77"/>
      <c r="I127" s="95"/>
      <c r="J127" s="85"/>
      <c r="K127" s="72"/>
      <c r="L127" s="80"/>
      <c r="M127" s="74"/>
      <c r="N127" s="80"/>
      <c r="O127" s="74"/>
      <c r="P127" s="81">
        <f>SUM(O114:O127)</f>
        <v>0</v>
      </c>
      <c r="Q127" s="74"/>
      <c r="R127" s="77"/>
      <c r="S127" s="82"/>
    </row>
    <row r="128" ht="22.5" hidden="1" customHeight="1" outlineLevel="1">
      <c r="A128" s="72"/>
      <c r="B128" s="73"/>
      <c r="C128" s="74"/>
      <c r="D128" s="78"/>
      <c r="E128" s="87"/>
      <c r="F128" s="75">
        <f>SUM(E114:E128)</f>
        <v>0</v>
      </c>
      <c r="G128" s="87"/>
      <c r="H128" s="77"/>
      <c r="I128" s="95"/>
      <c r="J128" s="85"/>
      <c r="K128" s="72"/>
      <c r="L128" s="80"/>
      <c r="M128" s="74"/>
      <c r="N128" s="80"/>
      <c r="O128" s="74"/>
      <c r="P128" s="81">
        <f>SUM(O114:O128)</f>
        <v>0</v>
      </c>
      <c r="Q128" s="74"/>
      <c r="R128" s="77"/>
      <c r="S128" s="82"/>
    </row>
    <row r="129" ht="22.5" hidden="1" customHeight="1" outlineLevel="1">
      <c r="A129" s="72"/>
      <c r="B129" s="73"/>
      <c r="C129" s="74"/>
      <c r="D129" s="78"/>
      <c r="E129" s="87"/>
      <c r="F129" s="75">
        <f>SUM(E114:E129)</f>
        <v>0</v>
      </c>
      <c r="G129" s="87"/>
      <c r="H129" s="77"/>
      <c r="I129" s="95"/>
      <c r="J129" s="85"/>
      <c r="K129" s="72"/>
      <c r="L129" s="80"/>
      <c r="M129" s="74"/>
      <c r="N129" s="80"/>
      <c r="O129" s="74"/>
      <c r="P129" s="81">
        <f>SUM(O114:O129)</f>
        <v>0</v>
      </c>
      <c r="Q129" s="74"/>
      <c r="R129" s="77"/>
      <c r="S129" s="82"/>
    </row>
    <row r="130" ht="22.5" hidden="1" customHeight="1" outlineLevel="1">
      <c r="A130" s="72"/>
      <c r="B130" s="73"/>
      <c r="C130" s="74"/>
      <c r="D130" s="78"/>
      <c r="E130" s="87"/>
      <c r="F130" s="75">
        <f>SUM(E114:E130)</f>
        <v>0</v>
      </c>
      <c r="G130" s="87"/>
      <c r="H130" s="77"/>
      <c r="I130" s="95"/>
      <c r="J130" s="85"/>
      <c r="K130" s="72"/>
      <c r="L130" s="80"/>
      <c r="M130" s="74"/>
      <c r="N130" s="80"/>
      <c r="O130" s="74"/>
      <c r="P130" s="81">
        <f>SUM(O114:O130)</f>
        <v>0</v>
      </c>
      <c r="Q130" s="74"/>
      <c r="R130" s="77"/>
      <c r="S130" s="82"/>
    </row>
    <row r="131" ht="22.5" hidden="1" customHeight="1" outlineLevel="1">
      <c r="A131" s="72"/>
      <c r="B131" s="78"/>
      <c r="C131" s="74"/>
      <c r="D131" s="78"/>
      <c r="E131" s="87"/>
      <c r="F131" s="75">
        <f>SUM(E115:E131,E114)</f>
        <v>0</v>
      </c>
      <c r="G131" s="87"/>
      <c r="H131" s="77"/>
      <c r="I131" s="95"/>
      <c r="J131" s="85"/>
      <c r="K131" s="72"/>
      <c r="L131" s="80"/>
      <c r="M131" s="74"/>
      <c r="N131" s="80"/>
      <c r="O131" s="74"/>
      <c r="P131" s="81">
        <f>SUM(O115:O131,O114)</f>
        <v>0</v>
      </c>
      <c r="Q131" s="74"/>
      <c r="R131" s="77"/>
      <c r="S131" s="82"/>
    </row>
    <row r="132">
      <c r="A132" s="88"/>
      <c r="B132" s="89"/>
      <c r="C132" s="88"/>
      <c r="D132" s="89"/>
      <c r="E132" s="89"/>
      <c r="F132" s="89"/>
      <c r="G132" s="89"/>
      <c r="H132" s="88"/>
      <c r="I132" s="89"/>
      <c r="J132" s="70"/>
      <c r="K132" s="70"/>
      <c r="L132" s="70"/>
      <c r="M132" s="70"/>
      <c r="N132" s="70"/>
      <c r="O132" s="70"/>
      <c r="P132" s="70"/>
      <c r="Q132" s="70"/>
      <c r="R132" s="70"/>
      <c r="S132" s="70"/>
    </row>
    <row r="133">
      <c r="A133" s="90" t="s">
        <v>123</v>
      </c>
      <c r="B133" s="42"/>
      <c r="C133" s="108" t="s">
        <v>101</v>
      </c>
      <c r="D133" s="64">
        <v>46023.0</v>
      </c>
      <c r="E133" s="109" t="s">
        <v>102</v>
      </c>
      <c r="F133" s="24"/>
      <c r="G133" s="66"/>
      <c r="H133" s="23"/>
      <c r="I133" s="24"/>
      <c r="J133" s="67"/>
      <c r="K133" s="62" t="s">
        <v>124</v>
      </c>
      <c r="L133" s="42"/>
      <c r="M133" s="108" t="s">
        <v>101</v>
      </c>
      <c r="N133" s="64">
        <v>46023.0</v>
      </c>
      <c r="O133" s="109" t="s">
        <v>102</v>
      </c>
      <c r="P133" s="24"/>
      <c r="Q133" s="66"/>
      <c r="R133" s="23"/>
      <c r="S133" s="24"/>
    </row>
    <row r="134">
      <c r="A134" s="93"/>
      <c r="C134" s="3"/>
      <c r="D134" s="3"/>
      <c r="E134" s="109" t="s">
        <v>104</v>
      </c>
      <c r="F134" s="24"/>
      <c r="G134" s="66"/>
      <c r="H134" s="23"/>
      <c r="I134" s="24"/>
      <c r="J134" s="67"/>
      <c r="K134" s="50"/>
      <c r="L134" s="51"/>
      <c r="M134" s="3"/>
      <c r="N134" s="3"/>
      <c r="O134" s="109" t="s">
        <v>104</v>
      </c>
      <c r="P134" s="24"/>
      <c r="Q134" s="66"/>
      <c r="R134" s="23"/>
      <c r="S134" s="24"/>
    </row>
    <row r="135" ht="22.5" customHeight="1" collapsed="1">
      <c r="A135" s="69" t="s">
        <v>105</v>
      </c>
      <c r="B135" s="69" t="s">
        <v>106</v>
      </c>
      <c r="C135" s="69" t="s">
        <v>107</v>
      </c>
      <c r="D135" s="69" t="s">
        <v>108</v>
      </c>
      <c r="E135" s="69" t="s">
        <v>109</v>
      </c>
      <c r="F135" s="69" t="s">
        <v>110</v>
      </c>
      <c r="G135" s="69" t="s">
        <v>111</v>
      </c>
      <c r="H135" s="69" t="s">
        <v>112</v>
      </c>
      <c r="I135" s="69" t="s">
        <v>22</v>
      </c>
      <c r="J135" s="70"/>
      <c r="K135" s="110" t="s">
        <v>105</v>
      </c>
      <c r="L135" s="110" t="s">
        <v>106</v>
      </c>
      <c r="M135" s="110" t="s">
        <v>107</v>
      </c>
      <c r="N135" s="110" t="s">
        <v>108</v>
      </c>
      <c r="O135" s="110" t="s">
        <v>109</v>
      </c>
      <c r="P135" s="110" t="s">
        <v>110</v>
      </c>
      <c r="Q135" s="110" t="s">
        <v>111</v>
      </c>
      <c r="R135" s="110" t="s">
        <v>112</v>
      </c>
      <c r="S135" s="110" t="s">
        <v>22</v>
      </c>
    </row>
    <row r="136" ht="22.5" hidden="1" customHeight="1" outlineLevel="1">
      <c r="A136" s="72"/>
      <c r="B136" s="73"/>
      <c r="C136" s="74"/>
      <c r="D136" s="78"/>
      <c r="E136" s="87"/>
      <c r="F136" s="75">
        <f>SUM(E136)</f>
        <v>0</v>
      </c>
      <c r="G136" s="87"/>
      <c r="H136" s="77"/>
      <c r="I136" s="95"/>
      <c r="J136" s="79"/>
      <c r="K136" s="72"/>
      <c r="L136" s="80"/>
      <c r="M136" s="74"/>
      <c r="N136" s="80"/>
      <c r="O136" s="74"/>
      <c r="P136" s="81">
        <f>SUM(O136)</f>
        <v>0</v>
      </c>
      <c r="Q136" s="74"/>
      <c r="R136" s="77"/>
      <c r="S136" s="82"/>
    </row>
    <row r="137" ht="22.5" hidden="1" customHeight="1" outlineLevel="1">
      <c r="A137" s="72"/>
      <c r="B137" s="73"/>
      <c r="C137" s="74"/>
      <c r="D137" s="78"/>
      <c r="E137" s="87"/>
      <c r="F137" s="75">
        <f>SUM(E136:E137)</f>
        <v>0</v>
      </c>
      <c r="G137" s="87"/>
      <c r="H137" s="77"/>
      <c r="I137" s="95"/>
      <c r="J137" s="85"/>
      <c r="K137" s="72"/>
      <c r="L137" s="80"/>
      <c r="M137" s="74"/>
      <c r="N137" s="80"/>
      <c r="O137" s="74"/>
      <c r="P137" s="81">
        <f>SUM(O136:O137)</f>
        <v>0</v>
      </c>
      <c r="Q137" s="74"/>
      <c r="R137" s="77"/>
      <c r="S137" s="82"/>
    </row>
    <row r="138" ht="22.5" hidden="1" customHeight="1" outlineLevel="1">
      <c r="A138" s="72"/>
      <c r="B138" s="73"/>
      <c r="C138" s="74"/>
      <c r="D138" s="78"/>
      <c r="E138" s="87"/>
      <c r="F138" s="75">
        <f>SUM(E136:E138)</f>
        <v>0</v>
      </c>
      <c r="G138" s="87"/>
      <c r="H138" s="77"/>
      <c r="I138" s="95"/>
      <c r="J138" s="86"/>
      <c r="K138" s="72"/>
      <c r="L138" s="80"/>
      <c r="M138" s="74"/>
      <c r="N138" s="80"/>
      <c r="O138" s="74"/>
      <c r="P138" s="81">
        <f>SUM(O136:O138)</f>
        <v>0</v>
      </c>
      <c r="Q138" s="74"/>
      <c r="R138" s="77"/>
      <c r="S138" s="82"/>
    </row>
    <row r="139" ht="22.5" hidden="1" customHeight="1" outlineLevel="1">
      <c r="A139" s="72"/>
      <c r="B139" s="73"/>
      <c r="C139" s="74"/>
      <c r="D139" s="78"/>
      <c r="E139" s="87"/>
      <c r="F139" s="75">
        <f>SUM(E136:E139)</f>
        <v>0</v>
      </c>
      <c r="G139" s="87"/>
      <c r="H139" s="77"/>
      <c r="I139" s="95"/>
      <c r="J139" s="85"/>
      <c r="K139" s="72"/>
      <c r="L139" s="80"/>
      <c r="M139" s="74"/>
      <c r="N139" s="80"/>
      <c r="O139" s="74"/>
      <c r="P139" s="81">
        <f>SUM(O136:O139)</f>
        <v>0</v>
      </c>
      <c r="Q139" s="74"/>
      <c r="R139" s="77"/>
      <c r="S139" s="82"/>
    </row>
    <row r="140" ht="22.5" hidden="1" customHeight="1" outlineLevel="1">
      <c r="A140" s="72"/>
      <c r="B140" s="73"/>
      <c r="C140" s="74"/>
      <c r="D140" s="78"/>
      <c r="E140" s="87"/>
      <c r="F140" s="75">
        <f>SUM(E136:E140)</f>
        <v>0</v>
      </c>
      <c r="G140" s="87"/>
      <c r="H140" s="77"/>
      <c r="I140" s="95"/>
      <c r="J140" s="85"/>
      <c r="K140" s="72"/>
      <c r="L140" s="80"/>
      <c r="M140" s="74"/>
      <c r="N140" s="80"/>
      <c r="O140" s="74"/>
      <c r="P140" s="81">
        <f>SUM(O136:O140)</f>
        <v>0</v>
      </c>
      <c r="Q140" s="74"/>
      <c r="R140" s="77"/>
      <c r="S140" s="82"/>
    </row>
    <row r="141" ht="22.5" hidden="1" customHeight="1" outlineLevel="1">
      <c r="A141" s="72"/>
      <c r="B141" s="73"/>
      <c r="C141" s="74"/>
      <c r="D141" s="78"/>
      <c r="E141" s="87"/>
      <c r="F141" s="75">
        <f>SUM(E136:E141)</f>
        <v>0</v>
      </c>
      <c r="G141" s="87"/>
      <c r="H141" s="77"/>
      <c r="I141" s="95"/>
      <c r="J141" s="85"/>
      <c r="K141" s="72"/>
      <c r="L141" s="80"/>
      <c r="M141" s="74"/>
      <c r="N141" s="80"/>
      <c r="O141" s="74"/>
      <c r="P141" s="81">
        <f>SUM(O136:O141)</f>
        <v>0</v>
      </c>
      <c r="Q141" s="74"/>
      <c r="R141" s="77"/>
      <c r="S141" s="82"/>
    </row>
    <row r="142" ht="22.5" hidden="1" customHeight="1" outlineLevel="1">
      <c r="A142" s="72"/>
      <c r="B142" s="73"/>
      <c r="C142" s="74"/>
      <c r="D142" s="78"/>
      <c r="E142" s="87"/>
      <c r="F142" s="75">
        <f>SUM(E136:E142)</f>
        <v>0</v>
      </c>
      <c r="G142" s="87"/>
      <c r="H142" s="77"/>
      <c r="I142" s="95"/>
      <c r="J142" s="85"/>
      <c r="K142" s="72"/>
      <c r="L142" s="80"/>
      <c r="M142" s="74"/>
      <c r="N142" s="80"/>
      <c r="O142" s="74"/>
      <c r="P142" s="81">
        <f>SUM(O136:O142)</f>
        <v>0</v>
      </c>
      <c r="Q142" s="74"/>
      <c r="R142" s="77"/>
      <c r="S142" s="82"/>
    </row>
    <row r="143" ht="22.5" hidden="1" customHeight="1" outlineLevel="1">
      <c r="A143" s="72"/>
      <c r="B143" s="73"/>
      <c r="C143" s="74"/>
      <c r="D143" s="78"/>
      <c r="E143" s="87"/>
      <c r="F143" s="75">
        <f>SUM(E136:E143)</f>
        <v>0</v>
      </c>
      <c r="G143" s="87"/>
      <c r="H143" s="77"/>
      <c r="I143" s="95"/>
      <c r="J143" s="85"/>
      <c r="K143" s="72"/>
      <c r="L143" s="80"/>
      <c r="M143" s="74"/>
      <c r="N143" s="80"/>
      <c r="O143" s="74"/>
      <c r="P143" s="81">
        <f>SUM(O136:O143)</f>
        <v>0</v>
      </c>
      <c r="Q143" s="74"/>
      <c r="R143" s="77"/>
      <c r="S143" s="82"/>
    </row>
    <row r="144" ht="22.5" hidden="1" customHeight="1" outlineLevel="1">
      <c r="A144" s="72"/>
      <c r="B144" s="73"/>
      <c r="C144" s="74"/>
      <c r="D144" s="78"/>
      <c r="E144" s="87"/>
      <c r="F144" s="75">
        <f>SUM(E136:E144)</f>
        <v>0</v>
      </c>
      <c r="G144" s="87"/>
      <c r="H144" s="77"/>
      <c r="I144" s="95"/>
      <c r="J144" s="85"/>
      <c r="K144" s="72"/>
      <c r="L144" s="80"/>
      <c r="M144" s="74"/>
      <c r="N144" s="80"/>
      <c r="O144" s="74"/>
      <c r="P144" s="81">
        <f>SUM(O136:O144)</f>
        <v>0</v>
      </c>
      <c r="Q144" s="74"/>
      <c r="R144" s="77"/>
      <c r="S144" s="82"/>
    </row>
    <row r="145" ht="22.5" hidden="1" customHeight="1" outlineLevel="1">
      <c r="A145" s="72"/>
      <c r="B145" s="73"/>
      <c r="C145" s="74"/>
      <c r="D145" s="78"/>
      <c r="E145" s="87"/>
      <c r="F145" s="75">
        <f>SUM(E136:E145)</f>
        <v>0</v>
      </c>
      <c r="G145" s="87"/>
      <c r="H145" s="77"/>
      <c r="I145" s="95"/>
      <c r="J145" s="85"/>
      <c r="K145" s="72"/>
      <c r="L145" s="80"/>
      <c r="M145" s="74"/>
      <c r="N145" s="80"/>
      <c r="O145" s="74"/>
      <c r="P145" s="81">
        <f>SUM(O136:O145)</f>
        <v>0</v>
      </c>
      <c r="Q145" s="74"/>
      <c r="R145" s="77"/>
      <c r="S145" s="82"/>
    </row>
    <row r="146" ht="22.5" hidden="1" customHeight="1" outlineLevel="1">
      <c r="A146" s="72"/>
      <c r="B146" s="73"/>
      <c r="C146" s="74"/>
      <c r="D146" s="78"/>
      <c r="E146" s="87"/>
      <c r="F146" s="75">
        <f>SUM(E136:E146)</f>
        <v>0</v>
      </c>
      <c r="G146" s="87"/>
      <c r="H146" s="77"/>
      <c r="I146" s="95"/>
      <c r="J146" s="85"/>
      <c r="K146" s="72"/>
      <c r="L146" s="80"/>
      <c r="M146" s="74"/>
      <c r="N146" s="80"/>
      <c r="O146" s="74"/>
      <c r="P146" s="81">
        <f>SUM(O136:O146)</f>
        <v>0</v>
      </c>
      <c r="Q146" s="74"/>
      <c r="R146" s="77"/>
      <c r="S146" s="82"/>
    </row>
    <row r="147" ht="22.5" hidden="1" customHeight="1" outlineLevel="1">
      <c r="A147" s="72"/>
      <c r="B147" s="73"/>
      <c r="C147" s="74"/>
      <c r="D147" s="78"/>
      <c r="E147" s="87"/>
      <c r="F147" s="75">
        <f>SUM(E136:E147)</f>
        <v>0</v>
      </c>
      <c r="G147" s="87"/>
      <c r="H147" s="77"/>
      <c r="I147" s="95"/>
      <c r="J147" s="85"/>
      <c r="K147" s="72"/>
      <c r="L147" s="80"/>
      <c r="M147" s="74"/>
      <c r="N147" s="80"/>
      <c r="O147" s="74"/>
      <c r="P147" s="81">
        <f>SUM(O136:O147)</f>
        <v>0</v>
      </c>
      <c r="Q147" s="74"/>
      <c r="R147" s="77"/>
      <c r="S147" s="82"/>
    </row>
    <row r="148" ht="22.5" hidden="1" customHeight="1" outlineLevel="1">
      <c r="A148" s="72"/>
      <c r="B148" s="73"/>
      <c r="C148" s="74"/>
      <c r="D148" s="78"/>
      <c r="E148" s="87"/>
      <c r="F148" s="75">
        <f>SUM(E136:E148)</f>
        <v>0</v>
      </c>
      <c r="G148" s="87"/>
      <c r="H148" s="77"/>
      <c r="I148" s="95"/>
      <c r="J148" s="85"/>
      <c r="K148" s="72"/>
      <c r="L148" s="80"/>
      <c r="M148" s="74"/>
      <c r="N148" s="80"/>
      <c r="O148" s="74"/>
      <c r="P148" s="81">
        <f>SUM(O136:O148)</f>
        <v>0</v>
      </c>
      <c r="Q148" s="74"/>
      <c r="R148" s="77"/>
      <c r="S148" s="82"/>
    </row>
    <row r="149" ht="22.5" hidden="1" customHeight="1" outlineLevel="1">
      <c r="A149" s="72"/>
      <c r="B149" s="73"/>
      <c r="C149" s="74"/>
      <c r="D149" s="78"/>
      <c r="E149" s="87"/>
      <c r="F149" s="75">
        <f>SUM(E136:E149)</f>
        <v>0</v>
      </c>
      <c r="G149" s="87"/>
      <c r="H149" s="77"/>
      <c r="I149" s="95"/>
      <c r="J149" s="85"/>
      <c r="K149" s="72"/>
      <c r="L149" s="80"/>
      <c r="M149" s="74"/>
      <c r="N149" s="80"/>
      <c r="O149" s="74"/>
      <c r="P149" s="81">
        <f>SUM(O136:O149)</f>
        <v>0</v>
      </c>
      <c r="Q149" s="74"/>
      <c r="R149" s="77"/>
      <c r="S149" s="82"/>
    </row>
    <row r="150" ht="22.5" hidden="1" customHeight="1" outlineLevel="1">
      <c r="A150" s="72"/>
      <c r="B150" s="73"/>
      <c r="C150" s="74"/>
      <c r="D150" s="78"/>
      <c r="E150" s="87"/>
      <c r="F150" s="75">
        <f>SUM(E136:E150)</f>
        <v>0</v>
      </c>
      <c r="G150" s="87"/>
      <c r="H150" s="77"/>
      <c r="I150" s="95"/>
      <c r="J150" s="85"/>
      <c r="K150" s="72"/>
      <c r="L150" s="80"/>
      <c r="M150" s="74"/>
      <c r="N150" s="80"/>
      <c r="O150" s="74"/>
      <c r="P150" s="81">
        <f>SUM(O136:O150)</f>
        <v>0</v>
      </c>
      <c r="Q150" s="74"/>
      <c r="R150" s="77"/>
      <c r="S150" s="82"/>
    </row>
    <row r="151" ht="22.5" hidden="1" customHeight="1" outlineLevel="1">
      <c r="A151" s="72"/>
      <c r="B151" s="73"/>
      <c r="C151" s="74"/>
      <c r="D151" s="78"/>
      <c r="E151" s="87"/>
      <c r="F151" s="75">
        <f>SUM(E136:E151)</f>
        <v>0</v>
      </c>
      <c r="G151" s="87"/>
      <c r="H151" s="77"/>
      <c r="I151" s="95"/>
      <c r="J151" s="85"/>
      <c r="K151" s="72"/>
      <c r="L151" s="80"/>
      <c r="M151" s="74"/>
      <c r="N151" s="80"/>
      <c r="O151" s="74"/>
      <c r="P151" s="81">
        <f>SUM(O136:O151)</f>
        <v>0</v>
      </c>
      <c r="Q151" s="74"/>
      <c r="R151" s="77"/>
      <c r="S151" s="82"/>
    </row>
    <row r="152" ht="22.5" hidden="1" customHeight="1" outlineLevel="1">
      <c r="A152" s="72"/>
      <c r="B152" s="73"/>
      <c r="C152" s="74"/>
      <c r="D152" s="78"/>
      <c r="E152" s="87"/>
      <c r="F152" s="75">
        <f>SUM(E136:E152)</f>
        <v>0</v>
      </c>
      <c r="G152" s="87"/>
      <c r="H152" s="77"/>
      <c r="I152" s="95"/>
      <c r="J152" s="85"/>
      <c r="K152" s="72"/>
      <c r="L152" s="80"/>
      <c r="M152" s="74"/>
      <c r="N152" s="80"/>
      <c r="O152" s="74"/>
      <c r="P152" s="81">
        <f>SUM(O136:O152)</f>
        <v>0</v>
      </c>
      <c r="Q152" s="74"/>
      <c r="R152" s="77"/>
      <c r="S152" s="82"/>
    </row>
    <row r="153" ht="22.5" hidden="1" customHeight="1" outlineLevel="1">
      <c r="A153" s="72"/>
      <c r="B153" s="73"/>
      <c r="C153" s="74"/>
      <c r="D153" s="78"/>
      <c r="E153" s="87"/>
      <c r="F153" s="75">
        <f>SUM(E137:E153,E136)</f>
        <v>0</v>
      </c>
      <c r="G153" s="87"/>
      <c r="H153" s="77"/>
      <c r="I153" s="95"/>
      <c r="J153" s="85"/>
      <c r="K153" s="72"/>
      <c r="L153" s="80"/>
      <c r="M153" s="74"/>
      <c r="N153" s="80"/>
      <c r="O153" s="74"/>
      <c r="P153" s="81">
        <f>SUM(O137:O153,O136)</f>
        <v>0</v>
      </c>
      <c r="Q153" s="74"/>
      <c r="R153" s="77"/>
      <c r="S153" s="82"/>
    </row>
    <row r="154">
      <c r="A154" s="88"/>
      <c r="B154" s="89"/>
      <c r="C154" s="88"/>
      <c r="D154" s="89"/>
      <c r="E154" s="89"/>
      <c r="F154" s="89"/>
      <c r="G154" s="89"/>
      <c r="H154" s="88"/>
      <c r="I154" s="89"/>
      <c r="J154" s="70"/>
      <c r="K154" s="70"/>
      <c r="L154" s="70"/>
      <c r="M154" s="70"/>
      <c r="N154" s="70"/>
      <c r="O154" s="70"/>
      <c r="P154" s="70"/>
      <c r="Q154" s="70"/>
      <c r="R154" s="70"/>
      <c r="S154" s="70"/>
    </row>
    <row r="155">
      <c r="A155" s="90" t="s">
        <v>125</v>
      </c>
      <c r="B155" s="42"/>
      <c r="C155" s="111" t="s">
        <v>101</v>
      </c>
      <c r="D155" s="64">
        <v>46023.0</v>
      </c>
      <c r="E155" s="112" t="s">
        <v>102</v>
      </c>
      <c r="F155" s="24"/>
      <c r="G155" s="66"/>
      <c r="H155" s="23"/>
      <c r="I155" s="24"/>
      <c r="J155" s="67"/>
      <c r="K155" s="62" t="s">
        <v>126</v>
      </c>
      <c r="L155" s="42"/>
      <c r="M155" s="111" t="s">
        <v>101</v>
      </c>
      <c r="N155" s="64">
        <v>46023.0</v>
      </c>
      <c r="O155" s="112" t="s">
        <v>102</v>
      </c>
      <c r="P155" s="24"/>
      <c r="Q155" s="66"/>
      <c r="R155" s="23"/>
      <c r="S155" s="24"/>
    </row>
    <row r="156">
      <c r="A156" s="93"/>
      <c r="C156" s="3"/>
      <c r="D156" s="3"/>
      <c r="E156" s="112" t="s">
        <v>104</v>
      </c>
      <c r="F156" s="24"/>
      <c r="G156" s="66"/>
      <c r="H156" s="23"/>
      <c r="I156" s="24"/>
      <c r="J156" s="67"/>
      <c r="K156" s="50"/>
      <c r="L156" s="51"/>
      <c r="M156" s="3"/>
      <c r="N156" s="3"/>
      <c r="O156" s="112" t="s">
        <v>104</v>
      </c>
      <c r="P156" s="24"/>
      <c r="Q156" s="66"/>
      <c r="R156" s="23"/>
      <c r="S156" s="24"/>
    </row>
    <row r="157" ht="22.5" customHeight="1" collapsed="1">
      <c r="A157" s="69" t="s">
        <v>105</v>
      </c>
      <c r="B157" s="69" t="s">
        <v>106</v>
      </c>
      <c r="C157" s="69" t="s">
        <v>107</v>
      </c>
      <c r="D157" s="69" t="s">
        <v>108</v>
      </c>
      <c r="E157" s="69" t="s">
        <v>109</v>
      </c>
      <c r="F157" s="69" t="s">
        <v>110</v>
      </c>
      <c r="G157" s="69" t="s">
        <v>111</v>
      </c>
      <c r="H157" s="69" t="s">
        <v>112</v>
      </c>
      <c r="I157" s="69" t="s">
        <v>22</v>
      </c>
      <c r="J157" s="70"/>
      <c r="K157" s="113" t="s">
        <v>105</v>
      </c>
      <c r="L157" s="113" t="s">
        <v>106</v>
      </c>
      <c r="M157" s="113" t="s">
        <v>107</v>
      </c>
      <c r="N157" s="113" t="s">
        <v>108</v>
      </c>
      <c r="O157" s="113" t="s">
        <v>109</v>
      </c>
      <c r="P157" s="113" t="s">
        <v>110</v>
      </c>
      <c r="Q157" s="113" t="s">
        <v>111</v>
      </c>
      <c r="R157" s="113" t="s">
        <v>112</v>
      </c>
      <c r="S157" s="113" t="s">
        <v>22</v>
      </c>
    </row>
    <row r="158" ht="22.5" hidden="1" customHeight="1" outlineLevel="1">
      <c r="A158" s="72"/>
      <c r="B158" s="73"/>
      <c r="C158" s="74"/>
      <c r="D158" s="78"/>
      <c r="E158" s="87"/>
      <c r="F158" s="75">
        <f>SUM(E158)</f>
        <v>0</v>
      </c>
      <c r="G158" s="87"/>
      <c r="H158" s="77"/>
      <c r="I158" s="95"/>
      <c r="J158" s="79"/>
      <c r="K158" s="72"/>
      <c r="L158" s="80"/>
      <c r="M158" s="74"/>
      <c r="N158" s="80"/>
      <c r="O158" s="74"/>
      <c r="P158" s="81">
        <f>SUM(O158)</f>
        <v>0</v>
      </c>
      <c r="Q158" s="74"/>
      <c r="R158" s="77"/>
      <c r="S158" s="82"/>
    </row>
    <row r="159" ht="22.5" hidden="1" customHeight="1" outlineLevel="1">
      <c r="A159" s="72"/>
      <c r="B159" s="73"/>
      <c r="C159" s="74"/>
      <c r="D159" s="78"/>
      <c r="E159" s="87"/>
      <c r="F159" s="75">
        <f>SUM(E158:E159)</f>
        <v>0</v>
      </c>
      <c r="G159" s="87"/>
      <c r="H159" s="77"/>
      <c r="I159" s="95"/>
      <c r="J159" s="85"/>
      <c r="K159" s="72"/>
      <c r="L159" s="80"/>
      <c r="M159" s="74"/>
      <c r="N159" s="80"/>
      <c r="O159" s="74"/>
      <c r="P159" s="81">
        <f>SUM(O158:O159)</f>
        <v>0</v>
      </c>
      <c r="Q159" s="74"/>
      <c r="R159" s="77"/>
      <c r="S159" s="82"/>
    </row>
    <row r="160" ht="22.5" hidden="1" customHeight="1" outlineLevel="1">
      <c r="A160" s="72"/>
      <c r="B160" s="73"/>
      <c r="C160" s="74"/>
      <c r="D160" s="78"/>
      <c r="E160" s="87"/>
      <c r="F160" s="75">
        <f>SUM(E158:E160)</f>
        <v>0</v>
      </c>
      <c r="G160" s="87"/>
      <c r="H160" s="77"/>
      <c r="I160" s="95"/>
      <c r="J160" s="86"/>
      <c r="K160" s="72"/>
      <c r="L160" s="80"/>
      <c r="M160" s="74"/>
      <c r="N160" s="80"/>
      <c r="O160" s="74"/>
      <c r="P160" s="81">
        <f>SUM(O158:O160)</f>
        <v>0</v>
      </c>
      <c r="Q160" s="74"/>
      <c r="R160" s="77"/>
      <c r="S160" s="82"/>
    </row>
    <row r="161" ht="22.5" hidden="1" customHeight="1" outlineLevel="1">
      <c r="A161" s="72"/>
      <c r="B161" s="73"/>
      <c r="C161" s="74"/>
      <c r="D161" s="78"/>
      <c r="E161" s="87"/>
      <c r="F161" s="75">
        <f>SUM(E158:E161)</f>
        <v>0</v>
      </c>
      <c r="G161" s="87"/>
      <c r="H161" s="77"/>
      <c r="I161" s="95"/>
      <c r="J161" s="85"/>
      <c r="K161" s="72"/>
      <c r="L161" s="80"/>
      <c r="M161" s="74"/>
      <c r="N161" s="80"/>
      <c r="O161" s="74"/>
      <c r="P161" s="81">
        <f>SUM(O158:O161)</f>
        <v>0</v>
      </c>
      <c r="Q161" s="74"/>
      <c r="R161" s="77"/>
      <c r="S161" s="82"/>
    </row>
    <row r="162" ht="22.5" hidden="1" customHeight="1" outlineLevel="1">
      <c r="A162" s="72"/>
      <c r="B162" s="73"/>
      <c r="C162" s="74"/>
      <c r="D162" s="78"/>
      <c r="E162" s="87"/>
      <c r="F162" s="75">
        <f>SUM(E158:E162)</f>
        <v>0</v>
      </c>
      <c r="G162" s="87"/>
      <c r="H162" s="77"/>
      <c r="I162" s="95"/>
      <c r="J162" s="85"/>
      <c r="K162" s="72"/>
      <c r="L162" s="80"/>
      <c r="M162" s="74"/>
      <c r="N162" s="80"/>
      <c r="O162" s="74"/>
      <c r="P162" s="81">
        <f>SUM(O158:O162)</f>
        <v>0</v>
      </c>
      <c r="Q162" s="74"/>
      <c r="R162" s="77"/>
      <c r="S162" s="82"/>
    </row>
    <row r="163" ht="22.5" hidden="1" customHeight="1" outlineLevel="1">
      <c r="A163" s="72"/>
      <c r="B163" s="73"/>
      <c r="C163" s="74"/>
      <c r="D163" s="78"/>
      <c r="E163" s="87"/>
      <c r="F163" s="75">
        <f>SUM(E158:E163)</f>
        <v>0</v>
      </c>
      <c r="G163" s="87"/>
      <c r="H163" s="77"/>
      <c r="I163" s="95"/>
      <c r="J163" s="85"/>
      <c r="K163" s="72"/>
      <c r="L163" s="80"/>
      <c r="M163" s="74"/>
      <c r="N163" s="80"/>
      <c r="O163" s="74"/>
      <c r="P163" s="81">
        <f>SUM(O158:O163)</f>
        <v>0</v>
      </c>
      <c r="Q163" s="74"/>
      <c r="R163" s="77"/>
      <c r="S163" s="82"/>
    </row>
    <row r="164" ht="22.5" hidden="1" customHeight="1" outlineLevel="1">
      <c r="A164" s="72"/>
      <c r="B164" s="73"/>
      <c r="C164" s="74"/>
      <c r="D164" s="78"/>
      <c r="E164" s="87"/>
      <c r="F164" s="75">
        <f>SUM(E158:E164)</f>
        <v>0</v>
      </c>
      <c r="G164" s="87"/>
      <c r="H164" s="77"/>
      <c r="I164" s="95"/>
      <c r="J164" s="85"/>
      <c r="K164" s="72"/>
      <c r="L164" s="80"/>
      <c r="M164" s="74"/>
      <c r="N164" s="80"/>
      <c r="O164" s="74"/>
      <c r="P164" s="81">
        <f>SUM(O158:O164)</f>
        <v>0</v>
      </c>
      <c r="Q164" s="74"/>
      <c r="R164" s="77"/>
      <c r="S164" s="82"/>
    </row>
    <row r="165" ht="22.5" hidden="1" customHeight="1" outlineLevel="1">
      <c r="A165" s="72"/>
      <c r="B165" s="73"/>
      <c r="C165" s="74"/>
      <c r="D165" s="78"/>
      <c r="E165" s="87"/>
      <c r="F165" s="75">
        <f>SUM(E158:E165)</f>
        <v>0</v>
      </c>
      <c r="G165" s="87"/>
      <c r="H165" s="77"/>
      <c r="I165" s="95"/>
      <c r="J165" s="85"/>
      <c r="K165" s="72"/>
      <c r="L165" s="80"/>
      <c r="M165" s="74"/>
      <c r="N165" s="80"/>
      <c r="O165" s="74"/>
      <c r="P165" s="81">
        <f>SUM(O158:O165)</f>
        <v>0</v>
      </c>
      <c r="Q165" s="74"/>
      <c r="R165" s="77"/>
      <c r="S165" s="82"/>
    </row>
    <row r="166" ht="22.5" hidden="1" customHeight="1" outlineLevel="1">
      <c r="A166" s="72"/>
      <c r="B166" s="73"/>
      <c r="C166" s="74"/>
      <c r="D166" s="78"/>
      <c r="E166" s="87"/>
      <c r="F166" s="75">
        <f>SUM(E158:E166)</f>
        <v>0</v>
      </c>
      <c r="G166" s="87"/>
      <c r="H166" s="77"/>
      <c r="I166" s="95"/>
      <c r="J166" s="85"/>
      <c r="K166" s="72"/>
      <c r="L166" s="80"/>
      <c r="M166" s="74"/>
      <c r="N166" s="80"/>
      <c r="O166" s="74"/>
      <c r="P166" s="81">
        <f>SUM(O158:O166)</f>
        <v>0</v>
      </c>
      <c r="Q166" s="74"/>
      <c r="R166" s="77"/>
      <c r="S166" s="82"/>
    </row>
    <row r="167" ht="22.5" hidden="1" customHeight="1" outlineLevel="1">
      <c r="A167" s="72"/>
      <c r="B167" s="73"/>
      <c r="C167" s="74"/>
      <c r="D167" s="78"/>
      <c r="E167" s="87"/>
      <c r="F167" s="75">
        <f>SUM(E158:E167)</f>
        <v>0</v>
      </c>
      <c r="G167" s="87"/>
      <c r="H167" s="77"/>
      <c r="I167" s="95"/>
      <c r="J167" s="85"/>
      <c r="K167" s="72"/>
      <c r="L167" s="80"/>
      <c r="M167" s="74"/>
      <c r="N167" s="80"/>
      <c r="O167" s="74"/>
      <c r="P167" s="81">
        <f>SUM(O158:O167)</f>
        <v>0</v>
      </c>
      <c r="Q167" s="74"/>
      <c r="R167" s="77"/>
      <c r="S167" s="82"/>
    </row>
    <row r="168" ht="22.5" hidden="1" customHeight="1" outlineLevel="1">
      <c r="A168" s="72"/>
      <c r="B168" s="73"/>
      <c r="C168" s="74"/>
      <c r="D168" s="78"/>
      <c r="E168" s="87"/>
      <c r="F168" s="75">
        <f>SUM(E158:E168)</f>
        <v>0</v>
      </c>
      <c r="G168" s="87"/>
      <c r="H168" s="77"/>
      <c r="I168" s="95"/>
      <c r="J168" s="85"/>
      <c r="K168" s="72"/>
      <c r="L168" s="80"/>
      <c r="M168" s="74"/>
      <c r="N168" s="80"/>
      <c r="O168" s="74"/>
      <c r="P168" s="81">
        <f>SUM(O158:O168)</f>
        <v>0</v>
      </c>
      <c r="Q168" s="74"/>
      <c r="R168" s="77"/>
      <c r="S168" s="82"/>
    </row>
    <row r="169" ht="22.5" hidden="1" customHeight="1" outlineLevel="1">
      <c r="A169" s="72"/>
      <c r="B169" s="73"/>
      <c r="C169" s="74"/>
      <c r="D169" s="78"/>
      <c r="E169" s="87"/>
      <c r="F169" s="75">
        <f>SUM(E158:E169)</f>
        <v>0</v>
      </c>
      <c r="G169" s="87"/>
      <c r="H169" s="77"/>
      <c r="I169" s="95"/>
      <c r="J169" s="85"/>
      <c r="K169" s="72"/>
      <c r="L169" s="80"/>
      <c r="M169" s="74"/>
      <c r="N169" s="80"/>
      <c r="O169" s="74"/>
      <c r="P169" s="81">
        <f>SUM(O158:O169)</f>
        <v>0</v>
      </c>
      <c r="Q169" s="74"/>
      <c r="R169" s="77"/>
      <c r="S169" s="82"/>
    </row>
    <row r="170" ht="22.5" hidden="1" customHeight="1" outlineLevel="1">
      <c r="A170" s="72"/>
      <c r="B170" s="73"/>
      <c r="C170" s="74"/>
      <c r="D170" s="78"/>
      <c r="E170" s="87"/>
      <c r="F170" s="75">
        <f>SUM(E158:E170)</f>
        <v>0</v>
      </c>
      <c r="G170" s="87"/>
      <c r="H170" s="77"/>
      <c r="I170" s="95"/>
      <c r="J170" s="85"/>
      <c r="K170" s="72"/>
      <c r="L170" s="80"/>
      <c r="M170" s="74"/>
      <c r="N170" s="80"/>
      <c r="O170" s="74"/>
      <c r="P170" s="81">
        <f>SUM(O158:O170)</f>
        <v>0</v>
      </c>
      <c r="Q170" s="74"/>
      <c r="R170" s="77"/>
      <c r="S170" s="82"/>
    </row>
    <row r="171" ht="22.5" hidden="1" customHeight="1" outlineLevel="1">
      <c r="A171" s="72"/>
      <c r="B171" s="73"/>
      <c r="C171" s="74"/>
      <c r="D171" s="78"/>
      <c r="E171" s="87"/>
      <c r="F171" s="75">
        <f>SUM(E158:E171)</f>
        <v>0</v>
      </c>
      <c r="G171" s="87"/>
      <c r="H171" s="77"/>
      <c r="I171" s="95"/>
      <c r="J171" s="85"/>
      <c r="K171" s="72"/>
      <c r="L171" s="80"/>
      <c r="M171" s="74"/>
      <c r="N171" s="80"/>
      <c r="O171" s="74"/>
      <c r="P171" s="81">
        <f>SUM(O158:O171)</f>
        <v>0</v>
      </c>
      <c r="Q171" s="74"/>
      <c r="R171" s="77"/>
      <c r="S171" s="82"/>
    </row>
    <row r="172" ht="22.5" hidden="1" customHeight="1" outlineLevel="1">
      <c r="A172" s="72"/>
      <c r="B172" s="73"/>
      <c r="C172" s="74"/>
      <c r="D172" s="78"/>
      <c r="E172" s="87"/>
      <c r="F172" s="75">
        <f>SUM(E158:E172)</f>
        <v>0</v>
      </c>
      <c r="G172" s="87"/>
      <c r="H172" s="77"/>
      <c r="I172" s="95"/>
      <c r="J172" s="85"/>
      <c r="K172" s="72"/>
      <c r="L172" s="80"/>
      <c r="M172" s="74"/>
      <c r="N172" s="80"/>
      <c r="O172" s="74"/>
      <c r="P172" s="81">
        <f>SUM(O158:O172)</f>
        <v>0</v>
      </c>
      <c r="Q172" s="74"/>
      <c r="R172" s="77"/>
      <c r="S172" s="82"/>
    </row>
    <row r="173" ht="22.5" hidden="1" customHeight="1" outlineLevel="1">
      <c r="A173" s="72"/>
      <c r="B173" s="73"/>
      <c r="C173" s="74"/>
      <c r="D173" s="78"/>
      <c r="E173" s="87"/>
      <c r="F173" s="75">
        <f>SUM(E158:E173)</f>
        <v>0</v>
      </c>
      <c r="G173" s="87"/>
      <c r="H173" s="77"/>
      <c r="I173" s="95"/>
      <c r="J173" s="85"/>
      <c r="K173" s="72"/>
      <c r="L173" s="80"/>
      <c r="M173" s="74"/>
      <c r="N173" s="80"/>
      <c r="O173" s="74"/>
      <c r="P173" s="81">
        <f>SUM(O158:O173)</f>
        <v>0</v>
      </c>
      <c r="Q173" s="74"/>
      <c r="R173" s="77"/>
      <c r="S173" s="82"/>
    </row>
    <row r="174" ht="22.5" hidden="1" customHeight="1" outlineLevel="1">
      <c r="A174" s="72"/>
      <c r="B174" s="73"/>
      <c r="C174" s="74"/>
      <c r="D174" s="78"/>
      <c r="E174" s="87"/>
      <c r="F174" s="75">
        <f>SUM(E158:E174)</f>
        <v>0</v>
      </c>
      <c r="G174" s="87"/>
      <c r="H174" s="77"/>
      <c r="I174" s="95"/>
      <c r="J174" s="85"/>
      <c r="K174" s="72"/>
      <c r="L174" s="80"/>
      <c r="M174" s="74"/>
      <c r="N174" s="80"/>
      <c r="O174" s="74"/>
      <c r="P174" s="81">
        <f>SUM(O158:O174)</f>
        <v>0</v>
      </c>
      <c r="Q174" s="74"/>
      <c r="R174" s="77"/>
      <c r="S174" s="82"/>
    </row>
    <row r="175" ht="22.5" hidden="1" customHeight="1" outlineLevel="1">
      <c r="A175" s="72"/>
      <c r="B175" s="73"/>
      <c r="C175" s="74"/>
      <c r="D175" s="78"/>
      <c r="E175" s="87"/>
      <c r="F175" s="75">
        <f>SUM(E159:E175,E158)</f>
        <v>0</v>
      </c>
      <c r="G175" s="87"/>
      <c r="H175" s="77"/>
      <c r="I175" s="95"/>
      <c r="J175" s="85"/>
      <c r="K175" s="72"/>
      <c r="L175" s="80"/>
      <c r="M175" s="74"/>
      <c r="N175" s="80"/>
      <c r="O175" s="74"/>
      <c r="P175" s="81">
        <f>SUM(O159:O175,O158)</f>
        <v>0</v>
      </c>
      <c r="Q175" s="74"/>
      <c r="R175" s="77"/>
      <c r="S175" s="82"/>
    </row>
    <row r="176">
      <c r="A176" s="88"/>
      <c r="B176" s="89"/>
      <c r="C176" s="88"/>
      <c r="D176" s="89"/>
      <c r="E176" s="89"/>
      <c r="F176" s="89"/>
      <c r="G176" s="89"/>
      <c r="H176" s="88"/>
      <c r="I176" s="89"/>
      <c r="J176" s="70"/>
      <c r="K176" s="70"/>
      <c r="L176" s="70"/>
      <c r="M176" s="70"/>
      <c r="N176" s="70"/>
      <c r="O176" s="70"/>
      <c r="P176" s="70"/>
      <c r="Q176" s="70"/>
      <c r="R176" s="70"/>
      <c r="S176" s="70"/>
    </row>
    <row r="177">
      <c r="A177" s="90" t="s">
        <v>127</v>
      </c>
      <c r="B177" s="42"/>
      <c r="C177" s="114" t="s">
        <v>101</v>
      </c>
      <c r="D177" s="64">
        <v>46023.0</v>
      </c>
      <c r="E177" s="115" t="s">
        <v>102</v>
      </c>
      <c r="F177" s="24"/>
      <c r="G177" s="66"/>
      <c r="H177" s="23"/>
      <c r="I177" s="24"/>
      <c r="J177" s="67"/>
      <c r="K177" s="62" t="s">
        <v>128</v>
      </c>
      <c r="L177" s="42"/>
      <c r="M177" s="114" t="s">
        <v>101</v>
      </c>
      <c r="N177" s="64">
        <v>46023.0</v>
      </c>
      <c r="O177" s="115" t="s">
        <v>102</v>
      </c>
      <c r="P177" s="24"/>
      <c r="Q177" s="66"/>
      <c r="R177" s="23"/>
      <c r="S177" s="24"/>
    </row>
    <row r="178">
      <c r="A178" s="93"/>
      <c r="C178" s="3"/>
      <c r="D178" s="3"/>
      <c r="E178" s="115" t="s">
        <v>104</v>
      </c>
      <c r="F178" s="24"/>
      <c r="G178" s="66"/>
      <c r="H178" s="23"/>
      <c r="I178" s="24"/>
      <c r="J178" s="67"/>
      <c r="K178" s="50"/>
      <c r="L178" s="51"/>
      <c r="M178" s="3"/>
      <c r="N178" s="3"/>
      <c r="O178" s="115" t="s">
        <v>104</v>
      </c>
      <c r="P178" s="24"/>
      <c r="Q178" s="66"/>
      <c r="R178" s="23"/>
      <c r="S178" s="24"/>
    </row>
    <row r="179" ht="22.5" customHeight="1" collapsed="1">
      <c r="A179" s="69" t="s">
        <v>105</v>
      </c>
      <c r="B179" s="69" t="s">
        <v>106</v>
      </c>
      <c r="C179" s="69" t="s">
        <v>107</v>
      </c>
      <c r="D179" s="69" t="s">
        <v>108</v>
      </c>
      <c r="E179" s="69" t="s">
        <v>109</v>
      </c>
      <c r="F179" s="69" t="s">
        <v>110</v>
      </c>
      <c r="G179" s="69" t="s">
        <v>111</v>
      </c>
      <c r="H179" s="69" t="s">
        <v>112</v>
      </c>
      <c r="I179" s="69" t="s">
        <v>22</v>
      </c>
      <c r="J179" s="70"/>
      <c r="K179" s="116" t="s">
        <v>105</v>
      </c>
      <c r="L179" s="116" t="s">
        <v>106</v>
      </c>
      <c r="M179" s="116" t="s">
        <v>107</v>
      </c>
      <c r="N179" s="116" t="s">
        <v>108</v>
      </c>
      <c r="O179" s="116" t="s">
        <v>109</v>
      </c>
      <c r="P179" s="116" t="s">
        <v>110</v>
      </c>
      <c r="Q179" s="116" t="s">
        <v>111</v>
      </c>
      <c r="R179" s="116" t="s">
        <v>112</v>
      </c>
      <c r="S179" s="116" t="s">
        <v>22</v>
      </c>
    </row>
    <row r="180" ht="22.5" hidden="1" customHeight="1" outlineLevel="1">
      <c r="A180" s="72"/>
      <c r="B180" s="73"/>
      <c r="C180" s="74"/>
      <c r="D180" s="78"/>
      <c r="E180" s="87"/>
      <c r="F180" s="75">
        <f>SUM(E180)</f>
        <v>0</v>
      </c>
      <c r="G180" s="87"/>
      <c r="H180" s="77"/>
      <c r="I180" s="95"/>
      <c r="J180" s="79"/>
      <c r="K180" s="72"/>
      <c r="L180" s="80"/>
      <c r="M180" s="74"/>
      <c r="N180" s="80"/>
      <c r="O180" s="74"/>
      <c r="P180" s="81">
        <f>SUM(O180)</f>
        <v>0</v>
      </c>
      <c r="Q180" s="74"/>
      <c r="R180" s="77"/>
      <c r="S180" s="82"/>
    </row>
    <row r="181" ht="22.5" hidden="1" customHeight="1" outlineLevel="1">
      <c r="A181" s="72"/>
      <c r="B181" s="73"/>
      <c r="C181" s="74"/>
      <c r="D181" s="78"/>
      <c r="E181" s="87"/>
      <c r="F181" s="75">
        <f>SUM(E180:E181)</f>
        <v>0</v>
      </c>
      <c r="G181" s="87"/>
      <c r="H181" s="77"/>
      <c r="I181" s="95"/>
      <c r="J181" s="85"/>
      <c r="K181" s="72"/>
      <c r="L181" s="80"/>
      <c r="M181" s="74"/>
      <c r="N181" s="80"/>
      <c r="O181" s="74"/>
      <c r="P181" s="81">
        <f>SUM(O180:O181)</f>
        <v>0</v>
      </c>
      <c r="Q181" s="74"/>
      <c r="R181" s="77"/>
      <c r="S181" s="82"/>
    </row>
    <row r="182" ht="22.5" hidden="1" customHeight="1" outlineLevel="1">
      <c r="A182" s="72"/>
      <c r="B182" s="73"/>
      <c r="C182" s="74"/>
      <c r="D182" s="78"/>
      <c r="E182" s="87"/>
      <c r="F182" s="75">
        <f>SUM(E180:E182)</f>
        <v>0</v>
      </c>
      <c r="G182" s="87"/>
      <c r="H182" s="77"/>
      <c r="I182" s="95"/>
      <c r="J182" s="86"/>
      <c r="K182" s="72"/>
      <c r="L182" s="80"/>
      <c r="M182" s="74"/>
      <c r="N182" s="80"/>
      <c r="O182" s="74"/>
      <c r="P182" s="81">
        <f>SUM(O180:O182)</f>
        <v>0</v>
      </c>
      <c r="Q182" s="74"/>
      <c r="R182" s="77"/>
      <c r="S182" s="82"/>
    </row>
    <row r="183" ht="22.5" hidden="1" customHeight="1" outlineLevel="1">
      <c r="A183" s="72"/>
      <c r="B183" s="73"/>
      <c r="C183" s="74"/>
      <c r="D183" s="78"/>
      <c r="E183" s="87"/>
      <c r="F183" s="75">
        <f>SUM(E180:E183)</f>
        <v>0</v>
      </c>
      <c r="G183" s="87"/>
      <c r="H183" s="77"/>
      <c r="I183" s="95"/>
      <c r="J183" s="85"/>
      <c r="K183" s="72"/>
      <c r="L183" s="80"/>
      <c r="M183" s="74"/>
      <c r="N183" s="80"/>
      <c r="O183" s="74"/>
      <c r="P183" s="81">
        <f>SUM(O180:O183)</f>
        <v>0</v>
      </c>
      <c r="Q183" s="74"/>
      <c r="R183" s="77"/>
      <c r="S183" s="82"/>
    </row>
    <row r="184" ht="22.5" hidden="1" customHeight="1" outlineLevel="1">
      <c r="A184" s="72"/>
      <c r="B184" s="73"/>
      <c r="C184" s="74"/>
      <c r="D184" s="78"/>
      <c r="E184" s="87"/>
      <c r="F184" s="75">
        <f>SUM(E180:E184)</f>
        <v>0</v>
      </c>
      <c r="G184" s="87"/>
      <c r="H184" s="77"/>
      <c r="I184" s="95"/>
      <c r="J184" s="85"/>
      <c r="K184" s="72"/>
      <c r="L184" s="80"/>
      <c r="M184" s="74"/>
      <c r="N184" s="80"/>
      <c r="O184" s="74"/>
      <c r="P184" s="81">
        <f>SUM(O180:O184)</f>
        <v>0</v>
      </c>
      <c r="Q184" s="74"/>
      <c r="R184" s="77"/>
      <c r="S184" s="82"/>
    </row>
    <row r="185" ht="22.5" hidden="1" customHeight="1" outlineLevel="1">
      <c r="A185" s="72"/>
      <c r="B185" s="73"/>
      <c r="C185" s="74"/>
      <c r="D185" s="78"/>
      <c r="E185" s="87"/>
      <c r="F185" s="75">
        <f>SUM(E180:E185)</f>
        <v>0</v>
      </c>
      <c r="G185" s="87"/>
      <c r="H185" s="77"/>
      <c r="I185" s="95"/>
      <c r="J185" s="85"/>
      <c r="K185" s="72"/>
      <c r="L185" s="80"/>
      <c r="M185" s="74"/>
      <c r="N185" s="80"/>
      <c r="O185" s="74"/>
      <c r="P185" s="81">
        <f>SUM(O180:O185)</f>
        <v>0</v>
      </c>
      <c r="Q185" s="74"/>
      <c r="R185" s="77"/>
      <c r="S185" s="82"/>
    </row>
    <row r="186" ht="22.5" hidden="1" customHeight="1" outlineLevel="1">
      <c r="A186" s="72"/>
      <c r="B186" s="73"/>
      <c r="C186" s="74"/>
      <c r="D186" s="78"/>
      <c r="E186" s="87"/>
      <c r="F186" s="75">
        <f>SUM(E180:E186)</f>
        <v>0</v>
      </c>
      <c r="G186" s="87"/>
      <c r="H186" s="77"/>
      <c r="I186" s="95"/>
      <c r="J186" s="85"/>
      <c r="K186" s="72"/>
      <c r="L186" s="80"/>
      <c r="M186" s="74"/>
      <c r="N186" s="80"/>
      <c r="O186" s="74"/>
      <c r="P186" s="81">
        <f>SUM(O180:O186)</f>
        <v>0</v>
      </c>
      <c r="Q186" s="74"/>
      <c r="R186" s="77"/>
      <c r="S186" s="82"/>
    </row>
    <row r="187" ht="22.5" hidden="1" customHeight="1" outlineLevel="1">
      <c r="A187" s="72"/>
      <c r="B187" s="73"/>
      <c r="C187" s="74"/>
      <c r="D187" s="78"/>
      <c r="E187" s="87"/>
      <c r="F187" s="75">
        <f>SUM(E180:E187)</f>
        <v>0</v>
      </c>
      <c r="G187" s="87"/>
      <c r="H187" s="77"/>
      <c r="I187" s="95"/>
      <c r="J187" s="85"/>
      <c r="K187" s="72"/>
      <c r="L187" s="80"/>
      <c r="M187" s="74"/>
      <c r="N187" s="80"/>
      <c r="O187" s="74"/>
      <c r="P187" s="81">
        <f>SUM(O180:O187)</f>
        <v>0</v>
      </c>
      <c r="Q187" s="74"/>
      <c r="R187" s="77"/>
      <c r="S187" s="82"/>
    </row>
    <row r="188" ht="22.5" hidden="1" customHeight="1" outlineLevel="1">
      <c r="A188" s="72"/>
      <c r="B188" s="73"/>
      <c r="C188" s="74"/>
      <c r="D188" s="78"/>
      <c r="E188" s="87"/>
      <c r="F188" s="75">
        <f>SUM(E180:E188)</f>
        <v>0</v>
      </c>
      <c r="G188" s="87"/>
      <c r="H188" s="77"/>
      <c r="I188" s="95"/>
      <c r="J188" s="85"/>
      <c r="K188" s="72"/>
      <c r="L188" s="80"/>
      <c r="M188" s="74"/>
      <c r="N188" s="80"/>
      <c r="O188" s="74"/>
      <c r="P188" s="81">
        <f>SUM(O180:O188)</f>
        <v>0</v>
      </c>
      <c r="Q188" s="74"/>
      <c r="R188" s="77"/>
      <c r="S188" s="82"/>
    </row>
    <row r="189" ht="22.5" hidden="1" customHeight="1" outlineLevel="1">
      <c r="A189" s="72"/>
      <c r="B189" s="73"/>
      <c r="C189" s="74"/>
      <c r="D189" s="78"/>
      <c r="E189" s="87"/>
      <c r="F189" s="75">
        <f>SUM(E180:E189)</f>
        <v>0</v>
      </c>
      <c r="G189" s="87"/>
      <c r="H189" s="77"/>
      <c r="I189" s="95"/>
      <c r="J189" s="85"/>
      <c r="K189" s="72"/>
      <c r="L189" s="80"/>
      <c r="M189" s="74"/>
      <c r="N189" s="80"/>
      <c r="O189" s="74"/>
      <c r="P189" s="81">
        <f>SUM(O180:O189)</f>
        <v>0</v>
      </c>
      <c r="Q189" s="74"/>
      <c r="R189" s="77"/>
      <c r="S189" s="82"/>
    </row>
    <row r="190" ht="22.5" hidden="1" customHeight="1" outlineLevel="1">
      <c r="A190" s="72"/>
      <c r="B190" s="73"/>
      <c r="C190" s="74"/>
      <c r="D190" s="78"/>
      <c r="E190" s="87"/>
      <c r="F190" s="75">
        <f>SUM(E180:E190)</f>
        <v>0</v>
      </c>
      <c r="G190" s="87"/>
      <c r="H190" s="77"/>
      <c r="I190" s="95"/>
      <c r="J190" s="85"/>
      <c r="K190" s="72"/>
      <c r="L190" s="80"/>
      <c r="M190" s="74"/>
      <c r="N190" s="80"/>
      <c r="O190" s="74"/>
      <c r="P190" s="81">
        <f>SUM(O180:O190)</f>
        <v>0</v>
      </c>
      <c r="Q190" s="74"/>
      <c r="R190" s="77"/>
      <c r="S190" s="82"/>
    </row>
    <row r="191" ht="22.5" hidden="1" customHeight="1" outlineLevel="1">
      <c r="A191" s="72"/>
      <c r="B191" s="73"/>
      <c r="C191" s="74"/>
      <c r="D191" s="78"/>
      <c r="E191" s="87"/>
      <c r="F191" s="75">
        <f>SUM(E180:E191)</f>
        <v>0</v>
      </c>
      <c r="G191" s="87"/>
      <c r="H191" s="77"/>
      <c r="I191" s="95"/>
      <c r="J191" s="85"/>
      <c r="K191" s="72"/>
      <c r="L191" s="80"/>
      <c r="M191" s="74"/>
      <c r="N191" s="80"/>
      <c r="O191" s="74"/>
      <c r="P191" s="81">
        <f>SUM(O180:O191)</f>
        <v>0</v>
      </c>
      <c r="Q191" s="74"/>
      <c r="R191" s="77"/>
      <c r="S191" s="82"/>
    </row>
    <row r="192" ht="22.5" hidden="1" customHeight="1" outlineLevel="1">
      <c r="A192" s="72"/>
      <c r="B192" s="73"/>
      <c r="C192" s="74"/>
      <c r="D192" s="78"/>
      <c r="E192" s="87"/>
      <c r="F192" s="75">
        <f>SUM(E180:E192)</f>
        <v>0</v>
      </c>
      <c r="G192" s="87"/>
      <c r="H192" s="77"/>
      <c r="I192" s="95"/>
      <c r="J192" s="85"/>
      <c r="K192" s="72"/>
      <c r="L192" s="80"/>
      <c r="M192" s="74"/>
      <c r="N192" s="80"/>
      <c r="O192" s="74"/>
      <c r="P192" s="81">
        <f>SUM(O180:O192)</f>
        <v>0</v>
      </c>
      <c r="Q192" s="74"/>
      <c r="R192" s="77"/>
      <c r="S192" s="82"/>
    </row>
    <row r="193" ht="22.5" hidden="1" customHeight="1" outlineLevel="1">
      <c r="A193" s="72"/>
      <c r="B193" s="73"/>
      <c r="C193" s="74"/>
      <c r="D193" s="78"/>
      <c r="E193" s="87"/>
      <c r="F193" s="75">
        <f>SUM(E180:E193)</f>
        <v>0</v>
      </c>
      <c r="G193" s="87"/>
      <c r="H193" s="77"/>
      <c r="I193" s="95"/>
      <c r="J193" s="85"/>
      <c r="K193" s="72"/>
      <c r="L193" s="80"/>
      <c r="M193" s="74"/>
      <c r="N193" s="80"/>
      <c r="O193" s="74"/>
      <c r="P193" s="81">
        <f>SUM(O180:O193)</f>
        <v>0</v>
      </c>
      <c r="Q193" s="74"/>
      <c r="R193" s="77"/>
      <c r="S193" s="82"/>
    </row>
    <row r="194" ht="22.5" hidden="1" customHeight="1" outlineLevel="1">
      <c r="A194" s="72"/>
      <c r="B194" s="73"/>
      <c r="C194" s="74"/>
      <c r="D194" s="78"/>
      <c r="E194" s="87"/>
      <c r="F194" s="75">
        <f>SUM(E180:E194)</f>
        <v>0</v>
      </c>
      <c r="G194" s="87"/>
      <c r="H194" s="77"/>
      <c r="I194" s="95"/>
      <c r="J194" s="85"/>
      <c r="K194" s="72"/>
      <c r="L194" s="80"/>
      <c r="M194" s="74"/>
      <c r="N194" s="80"/>
      <c r="O194" s="74"/>
      <c r="P194" s="81">
        <f>SUM(O180:O194)</f>
        <v>0</v>
      </c>
      <c r="Q194" s="74"/>
      <c r="R194" s="77"/>
      <c r="S194" s="82"/>
    </row>
    <row r="195" ht="22.5" hidden="1" customHeight="1" outlineLevel="1">
      <c r="A195" s="72"/>
      <c r="B195" s="73"/>
      <c r="C195" s="74"/>
      <c r="D195" s="78"/>
      <c r="E195" s="87"/>
      <c r="F195" s="75">
        <f>SUM(E180:E195)</f>
        <v>0</v>
      </c>
      <c r="G195" s="87"/>
      <c r="H195" s="77"/>
      <c r="I195" s="95"/>
      <c r="J195" s="85"/>
      <c r="K195" s="72"/>
      <c r="L195" s="80"/>
      <c r="M195" s="74"/>
      <c r="N195" s="80"/>
      <c r="O195" s="74"/>
      <c r="P195" s="81">
        <f>SUM(O180:O195)</f>
        <v>0</v>
      </c>
      <c r="Q195" s="74"/>
      <c r="R195" s="77"/>
      <c r="S195" s="82"/>
    </row>
    <row r="196" ht="22.5" hidden="1" customHeight="1" outlineLevel="1">
      <c r="A196" s="72"/>
      <c r="B196" s="73"/>
      <c r="C196" s="74"/>
      <c r="D196" s="78"/>
      <c r="E196" s="87"/>
      <c r="F196" s="75">
        <f>SUM(E180:E196)</f>
        <v>0</v>
      </c>
      <c r="G196" s="87"/>
      <c r="H196" s="77"/>
      <c r="I196" s="95"/>
      <c r="J196" s="85"/>
      <c r="K196" s="72"/>
      <c r="L196" s="80"/>
      <c r="M196" s="74"/>
      <c r="N196" s="80"/>
      <c r="O196" s="74"/>
      <c r="P196" s="81">
        <f>SUM(O180:O196)</f>
        <v>0</v>
      </c>
      <c r="Q196" s="74"/>
      <c r="R196" s="77"/>
      <c r="S196" s="82"/>
    </row>
    <row r="197" ht="22.5" hidden="1" customHeight="1" outlineLevel="1">
      <c r="A197" s="72"/>
      <c r="B197" s="73"/>
      <c r="C197" s="74"/>
      <c r="D197" s="78"/>
      <c r="E197" s="87"/>
      <c r="F197" s="75">
        <f>SUM(E181:E197,E180)</f>
        <v>0</v>
      </c>
      <c r="G197" s="87"/>
      <c r="H197" s="77"/>
      <c r="I197" s="95"/>
      <c r="J197" s="85"/>
      <c r="K197" s="72"/>
      <c r="L197" s="80"/>
      <c r="M197" s="74"/>
      <c r="N197" s="80"/>
      <c r="O197" s="74"/>
      <c r="P197" s="81">
        <f>SUM(O181:O197,O180)</f>
        <v>0</v>
      </c>
      <c r="Q197" s="74"/>
      <c r="R197" s="77"/>
      <c r="S197" s="82"/>
    </row>
    <row r="198">
      <c r="A198" s="88"/>
      <c r="B198" s="89"/>
      <c r="C198" s="88"/>
      <c r="D198" s="89"/>
      <c r="E198" s="89"/>
      <c r="F198" s="89"/>
      <c r="G198" s="89"/>
      <c r="H198" s="88"/>
      <c r="I198" s="89"/>
      <c r="J198" s="70"/>
      <c r="K198" s="70"/>
      <c r="L198" s="70"/>
      <c r="M198" s="70"/>
      <c r="N198" s="70"/>
      <c r="O198" s="70"/>
      <c r="P198" s="70"/>
      <c r="Q198" s="70"/>
      <c r="R198" s="70"/>
      <c r="S198" s="70"/>
    </row>
    <row r="199">
      <c r="A199" s="90" t="s">
        <v>129</v>
      </c>
      <c r="B199" s="42"/>
      <c r="C199" s="63" t="s">
        <v>101</v>
      </c>
      <c r="D199" s="64">
        <v>46023.0</v>
      </c>
      <c r="E199" s="65" t="s">
        <v>102</v>
      </c>
      <c r="F199" s="24"/>
      <c r="G199" s="66"/>
      <c r="H199" s="23"/>
      <c r="I199" s="24"/>
      <c r="J199" s="67"/>
      <c r="K199" s="62" t="s">
        <v>130</v>
      </c>
      <c r="L199" s="42"/>
      <c r="M199" s="63" t="s">
        <v>101</v>
      </c>
      <c r="N199" s="64">
        <v>46023.0</v>
      </c>
      <c r="O199" s="65" t="s">
        <v>102</v>
      </c>
      <c r="P199" s="24"/>
      <c r="Q199" s="66"/>
      <c r="R199" s="23"/>
      <c r="S199" s="24"/>
    </row>
    <row r="200">
      <c r="A200" s="93"/>
      <c r="C200" s="3"/>
      <c r="D200" s="3"/>
      <c r="E200" s="65" t="s">
        <v>104</v>
      </c>
      <c r="F200" s="24"/>
      <c r="G200" s="66"/>
      <c r="H200" s="23"/>
      <c r="I200" s="24"/>
      <c r="J200" s="67"/>
      <c r="K200" s="50"/>
      <c r="L200" s="51"/>
      <c r="M200" s="3"/>
      <c r="N200" s="3"/>
      <c r="O200" s="65" t="s">
        <v>104</v>
      </c>
      <c r="P200" s="24"/>
      <c r="Q200" s="66"/>
      <c r="R200" s="23"/>
      <c r="S200" s="24"/>
    </row>
    <row r="201" ht="22.5" customHeight="1" collapsed="1">
      <c r="A201" s="69" t="s">
        <v>105</v>
      </c>
      <c r="B201" s="69" t="s">
        <v>106</v>
      </c>
      <c r="C201" s="69" t="s">
        <v>107</v>
      </c>
      <c r="D201" s="69" t="s">
        <v>108</v>
      </c>
      <c r="E201" s="69" t="s">
        <v>109</v>
      </c>
      <c r="F201" s="69" t="s">
        <v>110</v>
      </c>
      <c r="G201" s="69" t="s">
        <v>111</v>
      </c>
      <c r="H201" s="69" t="s">
        <v>112</v>
      </c>
      <c r="I201" s="69" t="s">
        <v>22</v>
      </c>
      <c r="J201" s="70"/>
      <c r="K201" s="71" t="s">
        <v>105</v>
      </c>
      <c r="L201" s="71" t="s">
        <v>106</v>
      </c>
      <c r="M201" s="71" t="s">
        <v>107</v>
      </c>
      <c r="N201" s="71" t="s">
        <v>108</v>
      </c>
      <c r="O201" s="71" t="s">
        <v>109</v>
      </c>
      <c r="P201" s="71" t="s">
        <v>110</v>
      </c>
      <c r="Q201" s="71" t="s">
        <v>111</v>
      </c>
      <c r="R201" s="71" t="s">
        <v>112</v>
      </c>
      <c r="S201" s="71" t="s">
        <v>22</v>
      </c>
    </row>
    <row r="202" ht="22.5" hidden="1" customHeight="1" outlineLevel="1">
      <c r="A202" s="72"/>
      <c r="B202" s="73"/>
      <c r="C202" s="74"/>
      <c r="D202" s="78"/>
      <c r="E202" s="87"/>
      <c r="F202" s="75">
        <f>SUM(E202)</f>
        <v>0</v>
      </c>
      <c r="G202" s="87"/>
      <c r="H202" s="77"/>
      <c r="I202" s="95"/>
      <c r="J202" s="79"/>
      <c r="K202" s="72"/>
      <c r="L202" s="80"/>
      <c r="M202" s="74"/>
      <c r="N202" s="80"/>
      <c r="O202" s="74"/>
      <c r="P202" s="81">
        <f>SUM(O202)</f>
        <v>0</v>
      </c>
      <c r="Q202" s="74"/>
      <c r="R202" s="77"/>
      <c r="S202" s="82"/>
    </row>
    <row r="203" ht="22.5" hidden="1" customHeight="1" outlineLevel="1">
      <c r="A203" s="72"/>
      <c r="B203" s="73"/>
      <c r="C203" s="74"/>
      <c r="D203" s="78"/>
      <c r="E203" s="87"/>
      <c r="F203" s="75">
        <f>SUM(E202:E203)</f>
        <v>0</v>
      </c>
      <c r="G203" s="87"/>
      <c r="H203" s="77"/>
      <c r="I203" s="95"/>
      <c r="J203" s="85"/>
      <c r="K203" s="72"/>
      <c r="L203" s="80"/>
      <c r="M203" s="74"/>
      <c r="N203" s="80"/>
      <c r="O203" s="74"/>
      <c r="P203" s="81">
        <f>SUM(O202:O203)</f>
        <v>0</v>
      </c>
      <c r="Q203" s="74"/>
      <c r="R203" s="77"/>
      <c r="S203" s="82"/>
    </row>
    <row r="204" ht="22.5" hidden="1" customHeight="1" outlineLevel="1">
      <c r="A204" s="72"/>
      <c r="B204" s="73"/>
      <c r="C204" s="74"/>
      <c r="D204" s="78"/>
      <c r="E204" s="87"/>
      <c r="F204" s="75">
        <f>SUM(E202:E204)</f>
        <v>0</v>
      </c>
      <c r="G204" s="87"/>
      <c r="H204" s="77"/>
      <c r="I204" s="95"/>
      <c r="J204" s="86"/>
      <c r="K204" s="72"/>
      <c r="L204" s="80"/>
      <c r="M204" s="74"/>
      <c r="N204" s="80"/>
      <c r="O204" s="74"/>
      <c r="P204" s="81">
        <f>SUM(O202:O204)</f>
        <v>0</v>
      </c>
      <c r="Q204" s="74"/>
      <c r="R204" s="77"/>
      <c r="S204" s="82"/>
    </row>
    <row r="205" ht="22.5" hidden="1" customHeight="1" outlineLevel="1">
      <c r="A205" s="72"/>
      <c r="B205" s="73"/>
      <c r="C205" s="74"/>
      <c r="D205" s="78"/>
      <c r="E205" s="87"/>
      <c r="F205" s="75">
        <f>SUM(E202:E205)</f>
        <v>0</v>
      </c>
      <c r="G205" s="87"/>
      <c r="H205" s="77"/>
      <c r="I205" s="95"/>
      <c r="J205" s="85"/>
      <c r="K205" s="72"/>
      <c r="L205" s="80"/>
      <c r="M205" s="74"/>
      <c r="N205" s="80"/>
      <c r="O205" s="74"/>
      <c r="P205" s="81">
        <f>SUM(O202:O205)</f>
        <v>0</v>
      </c>
      <c r="Q205" s="74"/>
      <c r="R205" s="77"/>
      <c r="S205" s="82"/>
    </row>
    <row r="206" ht="22.5" hidden="1" customHeight="1" outlineLevel="1">
      <c r="A206" s="72"/>
      <c r="B206" s="73"/>
      <c r="C206" s="74"/>
      <c r="D206" s="78"/>
      <c r="E206" s="87"/>
      <c r="F206" s="75">
        <f>SUM(E202:E206)</f>
        <v>0</v>
      </c>
      <c r="G206" s="87"/>
      <c r="H206" s="77"/>
      <c r="I206" s="95"/>
      <c r="J206" s="85"/>
      <c r="K206" s="72"/>
      <c r="L206" s="80"/>
      <c r="M206" s="74"/>
      <c r="N206" s="80"/>
      <c r="O206" s="74"/>
      <c r="P206" s="81">
        <f>SUM(O202:O206)</f>
        <v>0</v>
      </c>
      <c r="Q206" s="74"/>
      <c r="R206" s="77"/>
      <c r="S206" s="82"/>
    </row>
    <row r="207" ht="22.5" hidden="1" customHeight="1" outlineLevel="1">
      <c r="A207" s="72"/>
      <c r="B207" s="73"/>
      <c r="C207" s="74"/>
      <c r="D207" s="78"/>
      <c r="E207" s="87"/>
      <c r="F207" s="75">
        <f>SUM(E202:E207)</f>
        <v>0</v>
      </c>
      <c r="G207" s="87"/>
      <c r="H207" s="77"/>
      <c r="I207" s="95"/>
      <c r="J207" s="85"/>
      <c r="K207" s="72"/>
      <c r="L207" s="80"/>
      <c r="M207" s="74"/>
      <c r="N207" s="80"/>
      <c r="O207" s="74"/>
      <c r="P207" s="81">
        <f>SUM(O202:O207)</f>
        <v>0</v>
      </c>
      <c r="Q207" s="74"/>
      <c r="R207" s="77"/>
      <c r="S207" s="82"/>
    </row>
    <row r="208" ht="22.5" hidden="1" customHeight="1" outlineLevel="1">
      <c r="A208" s="72"/>
      <c r="B208" s="73"/>
      <c r="C208" s="74"/>
      <c r="D208" s="78"/>
      <c r="E208" s="87"/>
      <c r="F208" s="75">
        <f>SUM(E202:E208)</f>
        <v>0</v>
      </c>
      <c r="G208" s="87"/>
      <c r="H208" s="77"/>
      <c r="I208" s="95"/>
      <c r="J208" s="85"/>
      <c r="K208" s="72"/>
      <c r="L208" s="80"/>
      <c r="M208" s="74"/>
      <c r="N208" s="80"/>
      <c r="O208" s="74"/>
      <c r="P208" s="81">
        <f>SUM(O202:O208)</f>
        <v>0</v>
      </c>
      <c r="Q208" s="74"/>
      <c r="R208" s="77"/>
      <c r="S208" s="82"/>
    </row>
    <row r="209" ht="22.5" hidden="1" customHeight="1" outlineLevel="1">
      <c r="A209" s="72"/>
      <c r="B209" s="73"/>
      <c r="C209" s="74"/>
      <c r="D209" s="78"/>
      <c r="E209" s="87"/>
      <c r="F209" s="75">
        <f>SUM(E202:E209)</f>
        <v>0</v>
      </c>
      <c r="G209" s="87"/>
      <c r="H209" s="77"/>
      <c r="I209" s="95"/>
      <c r="J209" s="85"/>
      <c r="K209" s="72"/>
      <c r="L209" s="80"/>
      <c r="M209" s="74"/>
      <c r="N209" s="80"/>
      <c r="O209" s="74"/>
      <c r="P209" s="81">
        <f>SUM(O202:O209)</f>
        <v>0</v>
      </c>
      <c r="Q209" s="74"/>
      <c r="R209" s="77"/>
      <c r="S209" s="82"/>
    </row>
    <row r="210" ht="22.5" hidden="1" customHeight="1" outlineLevel="1">
      <c r="A210" s="72"/>
      <c r="B210" s="73"/>
      <c r="C210" s="74"/>
      <c r="D210" s="78"/>
      <c r="E210" s="87"/>
      <c r="F210" s="75">
        <f>SUM(E202:E210)</f>
        <v>0</v>
      </c>
      <c r="G210" s="87"/>
      <c r="H210" s="77"/>
      <c r="I210" s="95"/>
      <c r="J210" s="85"/>
      <c r="K210" s="72"/>
      <c r="L210" s="80"/>
      <c r="M210" s="74"/>
      <c r="N210" s="80"/>
      <c r="O210" s="74"/>
      <c r="P210" s="81">
        <f>SUM(O202:O210)</f>
        <v>0</v>
      </c>
      <c r="Q210" s="74"/>
      <c r="R210" s="77"/>
      <c r="S210" s="82"/>
    </row>
    <row r="211" ht="22.5" hidden="1" customHeight="1" outlineLevel="1">
      <c r="A211" s="72"/>
      <c r="B211" s="73"/>
      <c r="C211" s="74"/>
      <c r="D211" s="78"/>
      <c r="E211" s="87"/>
      <c r="F211" s="75">
        <f>SUM(E202:E211)</f>
        <v>0</v>
      </c>
      <c r="G211" s="87"/>
      <c r="H211" s="77"/>
      <c r="I211" s="95"/>
      <c r="J211" s="85"/>
      <c r="K211" s="72"/>
      <c r="L211" s="80"/>
      <c r="M211" s="74"/>
      <c r="N211" s="80"/>
      <c r="O211" s="74"/>
      <c r="P211" s="81">
        <f>SUM(O202:O211)</f>
        <v>0</v>
      </c>
      <c r="Q211" s="74"/>
      <c r="R211" s="77"/>
      <c r="S211" s="82"/>
    </row>
    <row r="212" ht="22.5" hidden="1" customHeight="1" outlineLevel="1">
      <c r="A212" s="72"/>
      <c r="B212" s="73"/>
      <c r="C212" s="74"/>
      <c r="D212" s="78"/>
      <c r="E212" s="87"/>
      <c r="F212" s="75">
        <f>SUM(E202:E212)</f>
        <v>0</v>
      </c>
      <c r="G212" s="87"/>
      <c r="H212" s="77"/>
      <c r="I212" s="95"/>
      <c r="J212" s="85"/>
      <c r="K212" s="72"/>
      <c r="L212" s="80"/>
      <c r="M212" s="74"/>
      <c r="N212" s="80"/>
      <c r="O212" s="74"/>
      <c r="P212" s="81">
        <f>SUM(O202:O212)</f>
        <v>0</v>
      </c>
      <c r="Q212" s="74"/>
      <c r="R212" s="77"/>
      <c r="S212" s="82"/>
    </row>
    <row r="213" ht="22.5" hidden="1" customHeight="1" outlineLevel="1">
      <c r="A213" s="72"/>
      <c r="B213" s="73"/>
      <c r="C213" s="74"/>
      <c r="D213" s="78"/>
      <c r="E213" s="87"/>
      <c r="F213" s="75">
        <f>SUM(E202:E213)</f>
        <v>0</v>
      </c>
      <c r="G213" s="87"/>
      <c r="H213" s="77"/>
      <c r="I213" s="95"/>
      <c r="J213" s="85"/>
      <c r="K213" s="72"/>
      <c r="L213" s="80"/>
      <c r="M213" s="74"/>
      <c r="N213" s="80"/>
      <c r="O213" s="74"/>
      <c r="P213" s="81">
        <f>SUM(O202:O213)</f>
        <v>0</v>
      </c>
      <c r="Q213" s="74"/>
      <c r="R213" s="77"/>
      <c r="S213" s="82"/>
    </row>
    <row r="214" ht="22.5" hidden="1" customHeight="1" outlineLevel="1">
      <c r="A214" s="72"/>
      <c r="B214" s="73"/>
      <c r="C214" s="74"/>
      <c r="D214" s="78"/>
      <c r="E214" s="87"/>
      <c r="F214" s="75">
        <f>SUM(E202:E214)</f>
        <v>0</v>
      </c>
      <c r="G214" s="87"/>
      <c r="H214" s="77"/>
      <c r="I214" s="95"/>
      <c r="J214" s="85"/>
      <c r="K214" s="72"/>
      <c r="L214" s="80"/>
      <c r="M214" s="74"/>
      <c r="N214" s="80"/>
      <c r="O214" s="74"/>
      <c r="P214" s="81">
        <f>SUM(O202:O214)</f>
        <v>0</v>
      </c>
      <c r="Q214" s="74"/>
      <c r="R214" s="77"/>
      <c r="S214" s="82"/>
    </row>
    <row r="215" ht="22.5" hidden="1" customHeight="1" outlineLevel="1">
      <c r="A215" s="72"/>
      <c r="B215" s="73"/>
      <c r="C215" s="74"/>
      <c r="D215" s="78"/>
      <c r="E215" s="87"/>
      <c r="F215" s="75">
        <f>SUM(E202:E215)</f>
        <v>0</v>
      </c>
      <c r="G215" s="87"/>
      <c r="H215" s="77"/>
      <c r="I215" s="95"/>
      <c r="J215" s="85"/>
      <c r="K215" s="72"/>
      <c r="L215" s="80"/>
      <c r="M215" s="74"/>
      <c r="N215" s="80"/>
      <c r="O215" s="74"/>
      <c r="P215" s="81">
        <f>SUM(O202:O215)</f>
        <v>0</v>
      </c>
      <c r="Q215" s="74"/>
      <c r="R215" s="77"/>
      <c r="S215" s="82"/>
    </row>
    <row r="216" ht="22.5" hidden="1" customHeight="1" outlineLevel="1">
      <c r="A216" s="72"/>
      <c r="B216" s="73"/>
      <c r="C216" s="74"/>
      <c r="D216" s="78"/>
      <c r="E216" s="87"/>
      <c r="F216" s="75">
        <f>SUM(E202:E216)</f>
        <v>0</v>
      </c>
      <c r="G216" s="87"/>
      <c r="H216" s="77"/>
      <c r="I216" s="95"/>
      <c r="J216" s="85"/>
      <c r="K216" s="72"/>
      <c r="L216" s="80"/>
      <c r="M216" s="74"/>
      <c r="N216" s="80"/>
      <c r="O216" s="74"/>
      <c r="P216" s="81">
        <f>SUM(O202:O216)</f>
        <v>0</v>
      </c>
      <c r="Q216" s="74"/>
      <c r="R216" s="77"/>
      <c r="S216" s="82"/>
    </row>
    <row r="217" ht="22.5" hidden="1" customHeight="1" outlineLevel="1">
      <c r="A217" s="72"/>
      <c r="B217" s="73"/>
      <c r="C217" s="74"/>
      <c r="D217" s="78"/>
      <c r="E217" s="87"/>
      <c r="F217" s="75">
        <f>SUM(E202:E217)</f>
        <v>0</v>
      </c>
      <c r="G217" s="87"/>
      <c r="H217" s="77"/>
      <c r="I217" s="95"/>
      <c r="J217" s="85"/>
      <c r="K217" s="72"/>
      <c r="L217" s="80"/>
      <c r="M217" s="74"/>
      <c r="N217" s="80"/>
      <c r="O217" s="74"/>
      <c r="P217" s="81">
        <f>SUM(O202:O217)</f>
        <v>0</v>
      </c>
      <c r="Q217" s="74"/>
      <c r="R217" s="77"/>
      <c r="S217" s="82"/>
    </row>
    <row r="218" ht="22.5" hidden="1" customHeight="1" outlineLevel="1">
      <c r="A218" s="72"/>
      <c r="B218" s="73"/>
      <c r="C218" s="74"/>
      <c r="D218" s="78"/>
      <c r="E218" s="87"/>
      <c r="F218" s="75">
        <f>SUM(E202:E218)</f>
        <v>0</v>
      </c>
      <c r="G218" s="87"/>
      <c r="H218" s="77"/>
      <c r="I218" s="95"/>
      <c r="J218" s="85"/>
      <c r="K218" s="72"/>
      <c r="L218" s="80"/>
      <c r="M218" s="74"/>
      <c r="N218" s="80"/>
      <c r="O218" s="74"/>
      <c r="P218" s="81">
        <f>SUM(O202:O218)</f>
        <v>0</v>
      </c>
      <c r="Q218" s="74"/>
      <c r="R218" s="77"/>
      <c r="S218" s="82"/>
    </row>
    <row r="219" ht="22.5" hidden="1" customHeight="1" outlineLevel="1">
      <c r="A219" s="72"/>
      <c r="B219" s="73"/>
      <c r="C219" s="74"/>
      <c r="D219" s="78"/>
      <c r="E219" s="87"/>
      <c r="F219" s="75">
        <f>SUM(E203:E219,E202)</f>
        <v>0</v>
      </c>
      <c r="G219" s="87"/>
      <c r="H219" s="77"/>
      <c r="I219" s="95"/>
      <c r="J219" s="85"/>
      <c r="K219" s="72"/>
      <c r="L219" s="80"/>
      <c r="M219" s="74"/>
      <c r="N219" s="80"/>
      <c r="O219" s="74"/>
      <c r="P219" s="81">
        <f>SUM(O203:O219,O202)</f>
        <v>0</v>
      </c>
      <c r="Q219" s="74"/>
      <c r="R219" s="77"/>
      <c r="S219" s="82"/>
    </row>
    <row r="220">
      <c r="A220" s="88"/>
      <c r="B220" s="89"/>
      <c r="C220" s="88"/>
      <c r="D220" s="89"/>
      <c r="E220" s="89"/>
      <c r="F220" s="89"/>
      <c r="G220" s="89"/>
      <c r="H220" s="88"/>
      <c r="I220" s="89"/>
      <c r="J220" s="70"/>
      <c r="K220" s="70"/>
      <c r="L220" s="70"/>
      <c r="M220" s="70"/>
      <c r="N220" s="70"/>
      <c r="O220" s="70"/>
      <c r="P220" s="70"/>
      <c r="Q220" s="70"/>
      <c r="R220" s="70"/>
      <c r="S220" s="70"/>
    </row>
    <row r="221">
      <c r="A221" s="90" t="s">
        <v>131</v>
      </c>
      <c r="B221" s="42"/>
      <c r="C221" s="91" t="s">
        <v>101</v>
      </c>
      <c r="D221" s="64">
        <v>46023.0</v>
      </c>
      <c r="E221" s="92" t="s">
        <v>102</v>
      </c>
      <c r="F221" s="24"/>
      <c r="G221" s="66"/>
      <c r="H221" s="23"/>
      <c r="I221" s="24"/>
      <c r="J221" s="67"/>
      <c r="K221" s="62" t="s">
        <v>132</v>
      </c>
      <c r="L221" s="42"/>
      <c r="M221" s="91" t="s">
        <v>101</v>
      </c>
      <c r="N221" s="64">
        <v>46023.0</v>
      </c>
      <c r="O221" s="92" t="s">
        <v>102</v>
      </c>
      <c r="P221" s="24"/>
      <c r="Q221" s="66"/>
      <c r="R221" s="23"/>
      <c r="S221" s="24"/>
    </row>
    <row r="222">
      <c r="A222" s="93"/>
      <c r="C222" s="3"/>
      <c r="D222" s="3"/>
      <c r="E222" s="92" t="s">
        <v>104</v>
      </c>
      <c r="F222" s="24"/>
      <c r="G222" s="66"/>
      <c r="H222" s="23"/>
      <c r="I222" s="24"/>
      <c r="J222" s="67"/>
      <c r="K222" s="50"/>
      <c r="L222" s="51"/>
      <c r="M222" s="3"/>
      <c r="N222" s="3"/>
      <c r="O222" s="92" t="s">
        <v>104</v>
      </c>
      <c r="P222" s="24"/>
      <c r="Q222" s="66"/>
      <c r="R222" s="23"/>
      <c r="S222" s="24"/>
    </row>
    <row r="223" ht="22.5" customHeight="1" collapsed="1">
      <c r="A223" s="69" t="s">
        <v>105</v>
      </c>
      <c r="B223" s="69" t="s">
        <v>106</v>
      </c>
      <c r="C223" s="69" t="s">
        <v>107</v>
      </c>
      <c r="D223" s="69" t="s">
        <v>108</v>
      </c>
      <c r="E223" s="69" t="s">
        <v>109</v>
      </c>
      <c r="F223" s="69" t="s">
        <v>110</v>
      </c>
      <c r="G223" s="69" t="s">
        <v>111</v>
      </c>
      <c r="H223" s="69" t="s">
        <v>112</v>
      </c>
      <c r="I223" s="69" t="s">
        <v>22</v>
      </c>
      <c r="J223" s="70"/>
      <c r="K223" s="94" t="s">
        <v>105</v>
      </c>
      <c r="L223" s="94" t="s">
        <v>106</v>
      </c>
      <c r="M223" s="94" t="s">
        <v>107</v>
      </c>
      <c r="N223" s="94" t="s">
        <v>108</v>
      </c>
      <c r="O223" s="94" t="s">
        <v>109</v>
      </c>
      <c r="P223" s="94" t="s">
        <v>110</v>
      </c>
      <c r="Q223" s="94" t="s">
        <v>111</v>
      </c>
      <c r="R223" s="94" t="s">
        <v>112</v>
      </c>
      <c r="S223" s="94" t="s">
        <v>22</v>
      </c>
    </row>
    <row r="224" ht="22.5" hidden="1" customHeight="1" outlineLevel="1">
      <c r="A224" s="117"/>
      <c r="B224" s="118"/>
      <c r="C224" s="119"/>
      <c r="D224" s="120"/>
      <c r="E224" s="121"/>
      <c r="F224" s="122">
        <f>SUM(E224)</f>
        <v>0</v>
      </c>
      <c r="G224" s="121"/>
      <c r="H224" s="123"/>
      <c r="I224" s="124"/>
      <c r="J224" s="125"/>
      <c r="K224" s="117"/>
      <c r="L224" s="126"/>
      <c r="M224" s="119"/>
      <c r="N224" s="126"/>
      <c r="O224" s="119"/>
      <c r="P224" s="127">
        <f>SUM(O224)</f>
        <v>0</v>
      </c>
      <c r="Q224" s="119"/>
      <c r="R224" s="123"/>
      <c r="S224" s="128"/>
    </row>
    <row r="225" ht="22.5" hidden="1" customHeight="1" outlineLevel="1">
      <c r="A225" s="117"/>
      <c r="B225" s="118"/>
      <c r="C225" s="119"/>
      <c r="D225" s="120"/>
      <c r="E225" s="121"/>
      <c r="F225" s="122">
        <f>SUM(E224:E225)</f>
        <v>0</v>
      </c>
      <c r="G225" s="121"/>
      <c r="H225" s="123"/>
      <c r="I225" s="124"/>
      <c r="J225" s="70"/>
      <c r="K225" s="117"/>
      <c r="L225" s="126"/>
      <c r="M225" s="119"/>
      <c r="N225" s="126"/>
      <c r="O225" s="119"/>
      <c r="P225" s="127">
        <f>SUM(O224:O225)</f>
        <v>0</v>
      </c>
      <c r="Q225" s="119"/>
      <c r="R225" s="123"/>
      <c r="S225" s="128"/>
    </row>
    <row r="226" ht="22.5" hidden="1" customHeight="1" outlineLevel="1">
      <c r="A226" s="117"/>
      <c r="B226" s="118"/>
      <c r="C226" s="119"/>
      <c r="D226" s="120"/>
      <c r="E226" s="121"/>
      <c r="F226" s="122">
        <f>SUM(E224:E226)</f>
        <v>0</v>
      </c>
      <c r="G226" s="121"/>
      <c r="H226" s="123"/>
      <c r="I226" s="124"/>
      <c r="J226" s="129"/>
      <c r="K226" s="117"/>
      <c r="L226" s="126"/>
      <c r="M226" s="119"/>
      <c r="N226" s="126"/>
      <c r="O226" s="119"/>
      <c r="P226" s="127">
        <f>SUM(O224:O226)</f>
        <v>0</v>
      </c>
      <c r="Q226" s="119"/>
      <c r="R226" s="123"/>
      <c r="S226" s="128"/>
    </row>
    <row r="227" ht="22.5" hidden="1" customHeight="1" outlineLevel="1">
      <c r="A227" s="117"/>
      <c r="B227" s="118"/>
      <c r="C227" s="119"/>
      <c r="D227" s="120"/>
      <c r="E227" s="121"/>
      <c r="F227" s="122">
        <f>SUM(E224:E227)</f>
        <v>0</v>
      </c>
      <c r="G227" s="121"/>
      <c r="H227" s="123"/>
      <c r="I227" s="124"/>
      <c r="J227" s="70"/>
      <c r="K227" s="117"/>
      <c r="L227" s="126"/>
      <c r="M227" s="119"/>
      <c r="N227" s="126"/>
      <c r="O227" s="119"/>
      <c r="P227" s="127">
        <f>SUM(O224:O227)</f>
        <v>0</v>
      </c>
      <c r="Q227" s="119"/>
      <c r="R227" s="123"/>
      <c r="S227" s="128"/>
    </row>
    <row r="228" ht="22.5" hidden="1" customHeight="1" outlineLevel="1">
      <c r="A228" s="117"/>
      <c r="B228" s="118"/>
      <c r="C228" s="119"/>
      <c r="D228" s="120"/>
      <c r="E228" s="121"/>
      <c r="F228" s="122">
        <f>SUM(E224:E228)</f>
        <v>0</v>
      </c>
      <c r="G228" s="121"/>
      <c r="H228" s="123"/>
      <c r="I228" s="124"/>
      <c r="J228" s="70"/>
      <c r="K228" s="117"/>
      <c r="L228" s="126"/>
      <c r="M228" s="119"/>
      <c r="N228" s="126"/>
      <c r="O228" s="119"/>
      <c r="P228" s="127">
        <f>SUM(O224:O228)</f>
        <v>0</v>
      </c>
      <c r="Q228" s="119"/>
      <c r="R228" s="123"/>
      <c r="S228" s="128"/>
    </row>
    <row r="229" ht="22.5" hidden="1" customHeight="1" outlineLevel="1">
      <c r="A229" s="117"/>
      <c r="B229" s="118"/>
      <c r="C229" s="119"/>
      <c r="D229" s="120"/>
      <c r="E229" s="121"/>
      <c r="F229" s="122">
        <f>SUM(E224:E229)</f>
        <v>0</v>
      </c>
      <c r="G229" s="121"/>
      <c r="H229" s="123"/>
      <c r="I229" s="124"/>
      <c r="J229" s="70"/>
      <c r="K229" s="117"/>
      <c r="L229" s="126"/>
      <c r="M229" s="119"/>
      <c r="N229" s="126"/>
      <c r="O229" s="119"/>
      <c r="P229" s="127">
        <f>SUM(O224:O229)</f>
        <v>0</v>
      </c>
      <c r="Q229" s="119"/>
      <c r="R229" s="123"/>
      <c r="S229" s="128"/>
    </row>
    <row r="230" ht="22.5" hidden="1" customHeight="1" outlineLevel="1">
      <c r="A230" s="117"/>
      <c r="B230" s="118"/>
      <c r="C230" s="119"/>
      <c r="D230" s="120"/>
      <c r="E230" s="121"/>
      <c r="F230" s="122">
        <f>SUM(E224:E230)</f>
        <v>0</v>
      </c>
      <c r="G230" s="121"/>
      <c r="H230" s="123"/>
      <c r="I230" s="124"/>
      <c r="J230" s="70"/>
      <c r="K230" s="117"/>
      <c r="L230" s="126"/>
      <c r="M230" s="119"/>
      <c r="N230" s="126"/>
      <c r="O230" s="119"/>
      <c r="P230" s="127">
        <f>SUM(O224:O230)</f>
        <v>0</v>
      </c>
      <c r="Q230" s="119"/>
      <c r="R230" s="123"/>
      <c r="S230" s="128"/>
    </row>
    <row r="231" ht="22.5" hidden="1" customHeight="1" outlineLevel="1">
      <c r="A231" s="117"/>
      <c r="B231" s="118"/>
      <c r="C231" s="119"/>
      <c r="D231" s="120"/>
      <c r="E231" s="121"/>
      <c r="F231" s="122">
        <f>SUM(E224:E231)</f>
        <v>0</v>
      </c>
      <c r="G231" s="121"/>
      <c r="H231" s="123"/>
      <c r="I231" s="124"/>
      <c r="J231" s="70"/>
      <c r="K231" s="117"/>
      <c r="L231" s="126"/>
      <c r="M231" s="119"/>
      <c r="N231" s="126"/>
      <c r="O231" s="119"/>
      <c r="P231" s="127">
        <f>SUM(O224:O231)</f>
        <v>0</v>
      </c>
      <c r="Q231" s="119"/>
      <c r="R231" s="123"/>
      <c r="S231" s="128"/>
    </row>
    <row r="232" ht="22.5" hidden="1" customHeight="1" outlineLevel="1">
      <c r="A232" s="117"/>
      <c r="B232" s="118"/>
      <c r="C232" s="119"/>
      <c r="D232" s="120"/>
      <c r="E232" s="121"/>
      <c r="F232" s="122">
        <f>SUM(E224:E232)</f>
        <v>0</v>
      </c>
      <c r="G232" s="121"/>
      <c r="H232" s="123"/>
      <c r="I232" s="124"/>
      <c r="J232" s="70"/>
      <c r="K232" s="117"/>
      <c r="L232" s="126"/>
      <c r="M232" s="119"/>
      <c r="N232" s="126"/>
      <c r="O232" s="119"/>
      <c r="P232" s="127">
        <f>SUM(O224:O232)</f>
        <v>0</v>
      </c>
      <c r="Q232" s="119"/>
      <c r="R232" s="123"/>
      <c r="S232" s="128"/>
    </row>
    <row r="233" ht="22.5" hidden="1" customHeight="1" outlineLevel="1">
      <c r="A233" s="117"/>
      <c r="B233" s="118"/>
      <c r="C233" s="119"/>
      <c r="D233" s="120"/>
      <c r="E233" s="121"/>
      <c r="F233" s="122">
        <f>SUM(E224:E233)</f>
        <v>0</v>
      </c>
      <c r="G233" s="121"/>
      <c r="H233" s="123"/>
      <c r="I233" s="124"/>
      <c r="J233" s="70"/>
      <c r="K233" s="117"/>
      <c r="L233" s="126"/>
      <c r="M233" s="119"/>
      <c r="N233" s="126"/>
      <c r="O233" s="119"/>
      <c r="P233" s="127">
        <f>SUM(O224:O233)</f>
        <v>0</v>
      </c>
      <c r="Q233" s="119"/>
      <c r="R233" s="123"/>
      <c r="S233" s="128"/>
    </row>
    <row r="234" ht="22.5" hidden="1" customHeight="1" outlineLevel="1">
      <c r="A234" s="117"/>
      <c r="B234" s="118"/>
      <c r="C234" s="119"/>
      <c r="D234" s="120"/>
      <c r="E234" s="121"/>
      <c r="F234" s="122">
        <f>SUM(E224:E234)</f>
        <v>0</v>
      </c>
      <c r="G234" s="121"/>
      <c r="H234" s="123"/>
      <c r="I234" s="124"/>
      <c r="J234" s="70"/>
      <c r="K234" s="117"/>
      <c r="L234" s="126"/>
      <c r="M234" s="119"/>
      <c r="N234" s="126"/>
      <c r="O234" s="119"/>
      <c r="P234" s="127">
        <f>SUM(O224:O234)</f>
        <v>0</v>
      </c>
      <c r="Q234" s="119"/>
      <c r="R234" s="123"/>
      <c r="S234" s="128"/>
    </row>
    <row r="235" ht="22.5" hidden="1" customHeight="1" outlineLevel="1">
      <c r="A235" s="117"/>
      <c r="B235" s="118"/>
      <c r="C235" s="119"/>
      <c r="D235" s="120"/>
      <c r="E235" s="121"/>
      <c r="F235" s="122">
        <f>SUM(E224:E235)</f>
        <v>0</v>
      </c>
      <c r="G235" s="121"/>
      <c r="H235" s="123"/>
      <c r="I235" s="124"/>
      <c r="J235" s="70"/>
      <c r="K235" s="117"/>
      <c r="L235" s="126"/>
      <c r="M235" s="119"/>
      <c r="N235" s="126"/>
      <c r="O235" s="119"/>
      <c r="P235" s="127">
        <f>SUM(O224:O235)</f>
        <v>0</v>
      </c>
      <c r="Q235" s="119"/>
      <c r="R235" s="123"/>
      <c r="S235" s="128"/>
    </row>
    <row r="236" ht="22.5" hidden="1" customHeight="1" outlineLevel="1">
      <c r="A236" s="117"/>
      <c r="B236" s="118"/>
      <c r="C236" s="119"/>
      <c r="D236" s="120"/>
      <c r="E236" s="121"/>
      <c r="F236" s="122">
        <f>SUM(E224:E236)</f>
        <v>0</v>
      </c>
      <c r="G236" s="121"/>
      <c r="H236" s="123"/>
      <c r="I236" s="124"/>
      <c r="J236" s="70"/>
      <c r="K236" s="117"/>
      <c r="L236" s="126"/>
      <c r="M236" s="119"/>
      <c r="N236" s="126"/>
      <c r="O236" s="119"/>
      <c r="P236" s="127">
        <f>SUM(O224:O236)</f>
        <v>0</v>
      </c>
      <c r="Q236" s="119"/>
      <c r="R236" s="123"/>
      <c r="S236" s="128"/>
    </row>
    <row r="237" ht="22.5" hidden="1" customHeight="1" outlineLevel="1">
      <c r="A237" s="117"/>
      <c r="B237" s="118"/>
      <c r="C237" s="119"/>
      <c r="D237" s="120"/>
      <c r="E237" s="121"/>
      <c r="F237" s="122">
        <f>SUM(E224:E237)</f>
        <v>0</v>
      </c>
      <c r="G237" s="121"/>
      <c r="H237" s="123"/>
      <c r="I237" s="124"/>
      <c r="J237" s="70"/>
      <c r="K237" s="117"/>
      <c r="L237" s="126"/>
      <c r="M237" s="119"/>
      <c r="N237" s="126"/>
      <c r="O237" s="119"/>
      <c r="P237" s="127">
        <f>SUM(O224:O237)</f>
        <v>0</v>
      </c>
      <c r="Q237" s="119"/>
      <c r="R237" s="123"/>
      <c r="S237" s="128"/>
    </row>
    <row r="238" ht="22.5" hidden="1" customHeight="1" outlineLevel="1">
      <c r="A238" s="117"/>
      <c r="B238" s="118"/>
      <c r="C238" s="119"/>
      <c r="D238" s="120"/>
      <c r="E238" s="121"/>
      <c r="F238" s="122">
        <f>SUM(E224:E238)</f>
        <v>0</v>
      </c>
      <c r="G238" s="121"/>
      <c r="H238" s="123"/>
      <c r="I238" s="124"/>
      <c r="J238" s="70"/>
      <c r="K238" s="117"/>
      <c r="L238" s="126"/>
      <c r="M238" s="119"/>
      <c r="N238" s="126"/>
      <c r="O238" s="119"/>
      <c r="P238" s="127">
        <f>SUM(O224:O238)</f>
        <v>0</v>
      </c>
      <c r="Q238" s="119"/>
      <c r="R238" s="123"/>
      <c r="S238" s="128"/>
    </row>
    <row r="239" ht="22.5" hidden="1" customHeight="1" outlineLevel="1">
      <c r="A239" s="117"/>
      <c r="B239" s="118"/>
      <c r="C239" s="119"/>
      <c r="D239" s="120"/>
      <c r="E239" s="121"/>
      <c r="F239" s="122">
        <f>SUM(E224:E239)</f>
        <v>0</v>
      </c>
      <c r="G239" s="121"/>
      <c r="H239" s="123"/>
      <c r="I239" s="124"/>
      <c r="J239" s="70"/>
      <c r="K239" s="117"/>
      <c r="L239" s="126"/>
      <c r="M239" s="119"/>
      <c r="N239" s="126"/>
      <c r="O239" s="119"/>
      <c r="P239" s="127">
        <f>SUM(O224:O239)</f>
        <v>0</v>
      </c>
      <c r="Q239" s="119"/>
      <c r="R239" s="123"/>
      <c r="S239" s="128"/>
    </row>
    <row r="240" ht="22.5" hidden="1" customHeight="1" outlineLevel="1">
      <c r="A240" s="117"/>
      <c r="B240" s="118"/>
      <c r="C240" s="119"/>
      <c r="D240" s="120"/>
      <c r="E240" s="121"/>
      <c r="F240" s="122">
        <f>SUM(E224:E240)</f>
        <v>0</v>
      </c>
      <c r="G240" s="121"/>
      <c r="H240" s="123"/>
      <c r="I240" s="124"/>
      <c r="J240" s="70"/>
      <c r="K240" s="117"/>
      <c r="L240" s="126"/>
      <c r="M240" s="119"/>
      <c r="N240" s="126"/>
      <c r="O240" s="119"/>
      <c r="P240" s="127">
        <f>SUM(O224:O240)</f>
        <v>0</v>
      </c>
      <c r="Q240" s="119"/>
      <c r="R240" s="123"/>
      <c r="S240" s="128"/>
    </row>
    <row r="241" ht="22.5" hidden="1" customHeight="1" outlineLevel="1">
      <c r="A241" s="117"/>
      <c r="B241" s="120"/>
      <c r="C241" s="119"/>
      <c r="D241" s="120"/>
      <c r="E241" s="121"/>
      <c r="F241" s="122">
        <f>SUM(E225:E241,E224)</f>
        <v>0</v>
      </c>
      <c r="G241" s="121"/>
      <c r="H241" s="123"/>
      <c r="I241" s="124"/>
      <c r="J241" s="70"/>
      <c r="K241" s="117"/>
      <c r="L241" s="126"/>
      <c r="M241" s="119"/>
      <c r="N241" s="126"/>
      <c r="O241" s="119"/>
      <c r="P241" s="127">
        <f>SUM(O225:O241,O224)</f>
        <v>0</v>
      </c>
      <c r="Q241" s="119"/>
      <c r="R241" s="123"/>
      <c r="S241" s="128"/>
    </row>
    <row r="242">
      <c r="A242" s="88"/>
      <c r="B242" s="89"/>
      <c r="C242" s="88"/>
      <c r="D242" s="89"/>
      <c r="E242" s="89"/>
      <c r="F242" s="89"/>
      <c r="G242" s="89"/>
      <c r="H242" s="88"/>
      <c r="I242" s="89"/>
      <c r="J242" s="70"/>
      <c r="K242" s="70"/>
      <c r="L242" s="70"/>
      <c r="M242" s="70"/>
      <c r="N242" s="70"/>
      <c r="O242" s="70"/>
      <c r="P242" s="70"/>
      <c r="Q242" s="70"/>
      <c r="R242" s="70"/>
      <c r="S242" s="70"/>
    </row>
    <row r="243">
      <c r="A243" s="90" t="s">
        <v>133</v>
      </c>
      <c r="B243" s="42"/>
      <c r="C243" s="96" t="s">
        <v>101</v>
      </c>
      <c r="D243" s="64">
        <v>46023.0</v>
      </c>
      <c r="E243" s="97" t="s">
        <v>102</v>
      </c>
      <c r="F243" s="24"/>
      <c r="G243" s="66"/>
      <c r="H243" s="23"/>
      <c r="I243" s="24"/>
      <c r="J243" s="67"/>
      <c r="K243" s="62" t="s">
        <v>134</v>
      </c>
      <c r="L243" s="42"/>
      <c r="M243" s="96" t="s">
        <v>101</v>
      </c>
      <c r="N243" s="64">
        <v>46023.0</v>
      </c>
      <c r="O243" s="97" t="s">
        <v>102</v>
      </c>
      <c r="P243" s="24"/>
      <c r="Q243" s="66"/>
      <c r="R243" s="23"/>
      <c r="S243" s="24"/>
    </row>
    <row r="244">
      <c r="A244" s="93"/>
      <c r="C244" s="3"/>
      <c r="D244" s="3"/>
      <c r="E244" s="97" t="s">
        <v>104</v>
      </c>
      <c r="F244" s="24"/>
      <c r="G244" s="66"/>
      <c r="H244" s="23"/>
      <c r="I244" s="24"/>
      <c r="J244" s="67"/>
      <c r="K244" s="50"/>
      <c r="L244" s="51"/>
      <c r="M244" s="3"/>
      <c r="N244" s="3"/>
      <c r="O244" s="97" t="s">
        <v>104</v>
      </c>
      <c r="P244" s="24"/>
      <c r="Q244" s="66"/>
      <c r="R244" s="23"/>
      <c r="S244" s="24"/>
    </row>
    <row r="245" ht="22.5" customHeight="1" collapsed="1">
      <c r="A245" s="69" t="s">
        <v>105</v>
      </c>
      <c r="B245" s="69" t="s">
        <v>106</v>
      </c>
      <c r="C245" s="69" t="s">
        <v>107</v>
      </c>
      <c r="D245" s="69" t="s">
        <v>108</v>
      </c>
      <c r="E245" s="69" t="s">
        <v>109</v>
      </c>
      <c r="F245" s="69" t="s">
        <v>110</v>
      </c>
      <c r="G245" s="69" t="s">
        <v>111</v>
      </c>
      <c r="H245" s="69" t="s">
        <v>112</v>
      </c>
      <c r="I245" s="69" t="s">
        <v>22</v>
      </c>
      <c r="J245" s="70"/>
      <c r="K245" s="98" t="s">
        <v>105</v>
      </c>
      <c r="L245" s="98" t="s">
        <v>106</v>
      </c>
      <c r="M245" s="98" t="s">
        <v>107</v>
      </c>
      <c r="N245" s="98" t="s">
        <v>108</v>
      </c>
      <c r="O245" s="98" t="s">
        <v>109</v>
      </c>
      <c r="P245" s="98" t="s">
        <v>110</v>
      </c>
      <c r="Q245" s="98" t="s">
        <v>111</v>
      </c>
      <c r="R245" s="98" t="s">
        <v>112</v>
      </c>
      <c r="S245" s="98" t="s">
        <v>22</v>
      </c>
    </row>
    <row r="246" ht="22.5" hidden="1" customHeight="1" outlineLevel="1">
      <c r="A246" s="72"/>
      <c r="B246" s="73"/>
      <c r="C246" s="74"/>
      <c r="D246" s="78"/>
      <c r="E246" s="87"/>
      <c r="F246" s="75">
        <f>SUM(E246)</f>
        <v>0</v>
      </c>
      <c r="G246" s="87"/>
      <c r="H246" s="77"/>
      <c r="I246" s="95"/>
      <c r="J246" s="79"/>
      <c r="K246" s="72"/>
      <c r="L246" s="80"/>
      <c r="M246" s="74"/>
      <c r="N246" s="80"/>
      <c r="O246" s="74"/>
      <c r="P246" s="81">
        <f>SUM(O246)</f>
        <v>0</v>
      </c>
      <c r="Q246" s="74"/>
      <c r="R246" s="77"/>
      <c r="S246" s="82"/>
    </row>
    <row r="247" ht="22.5" hidden="1" customHeight="1" outlineLevel="1">
      <c r="A247" s="72"/>
      <c r="B247" s="73"/>
      <c r="C247" s="74"/>
      <c r="D247" s="78"/>
      <c r="E247" s="87"/>
      <c r="F247" s="75">
        <f>SUM(E246:E247)</f>
        <v>0</v>
      </c>
      <c r="G247" s="87"/>
      <c r="H247" s="77"/>
      <c r="I247" s="95"/>
      <c r="J247" s="85"/>
      <c r="K247" s="72"/>
      <c r="L247" s="80"/>
      <c r="M247" s="74"/>
      <c r="N247" s="80"/>
      <c r="O247" s="74"/>
      <c r="P247" s="81">
        <f>SUM(O246:O247)</f>
        <v>0</v>
      </c>
      <c r="Q247" s="74"/>
      <c r="R247" s="77"/>
      <c r="S247" s="82"/>
    </row>
    <row r="248" ht="22.5" hidden="1" customHeight="1" outlineLevel="1">
      <c r="A248" s="72"/>
      <c r="B248" s="73"/>
      <c r="C248" s="74"/>
      <c r="D248" s="78"/>
      <c r="E248" s="87"/>
      <c r="F248" s="75">
        <f>SUM(E246:E248)</f>
        <v>0</v>
      </c>
      <c r="G248" s="87"/>
      <c r="H248" s="77"/>
      <c r="I248" s="95"/>
      <c r="J248" s="86"/>
      <c r="K248" s="72"/>
      <c r="L248" s="80"/>
      <c r="M248" s="74"/>
      <c r="N248" s="80"/>
      <c r="O248" s="74"/>
      <c r="P248" s="81">
        <f>SUM(O246:O248)</f>
        <v>0</v>
      </c>
      <c r="Q248" s="74"/>
      <c r="R248" s="77"/>
      <c r="S248" s="82"/>
    </row>
    <row r="249" ht="22.5" hidden="1" customHeight="1" outlineLevel="1">
      <c r="A249" s="72"/>
      <c r="B249" s="73"/>
      <c r="C249" s="74"/>
      <c r="D249" s="78"/>
      <c r="E249" s="87"/>
      <c r="F249" s="75">
        <f>SUM(E246:E249)</f>
        <v>0</v>
      </c>
      <c r="G249" s="87"/>
      <c r="H249" s="77"/>
      <c r="I249" s="95"/>
      <c r="J249" s="85"/>
      <c r="K249" s="72"/>
      <c r="L249" s="80"/>
      <c r="M249" s="74"/>
      <c r="N249" s="80"/>
      <c r="O249" s="74"/>
      <c r="P249" s="81">
        <f>SUM(O246:O249)</f>
        <v>0</v>
      </c>
      <c r="Q249" s="74"/>
      <c r="R249" s="77"/>
      <c r="S249" s="82"/>
    </row>
    <row r="250" ht="22.5" hidden="1" customHeight="1" outlineLevel="1">
      <c r="A250" s="72"/>
      <c r="B250" s="73"/>
      <c r="C250" s="74"/>
      <c r="D250" s="78"/>
      <c r="E250" s="87"/>
      <c r="F250" s="75">
        <f>SUM(E246:E250)</f>
        <v>0</v>
      </c>
      <c r="G250" s="87"/>
      <c r="H250" s="77"/>
      <c r="I250" s="95"/>
      <c r="J250" s="85"/>
      <c r="K250" s="72"/>
      <c r="L250" s="80"/>
      <c r="M250" s="74"/>
      <c r="N250" s="80"/>
      <c r="O250" s="74"/>
      <c r="P250" s="81">
        <f>SUM(O246:O250)</f>
        <v>0</v>
      </c>
      <c r="Q250" s="74"/>
      <c r="R250" s="77"/>
      <c r="S250" s="82"/>
    </row>
    <row r="251" ht="22.5" hidden="1" customHeight="1" outlineLevel="1">
      <c r="A251" s="72"/>
      <c r="B251" s="73"/>
      <c r="C251" s="74"/>
      <c r="D251" s="78"/>
      <c r="E251" s="87"/>
      <c r="F251" s="75">
        <f>SUM(E246:E251)</f>
        <v>0</v>
      </c>
      <c r="G251" s="87"/>
      <c r="H251" s="77"/>
      <c r="I251" s="95"/>
      <c r="J251" s="85"/>
      <c r="K251" s="72"/>
      <c r="L251" s="80"/>
      <c r="M251" s="74"/>
      <c r="N251" s="80"/>
      <c r="O251" s="74"/>
      <c r="P251" s="81">
        <f>SUM(O246:O251)</f>
        <v>0</v>
      </c>
      <c r="Q251" s="74"/>
      <c r="R251" s="77"/>
      <c r="S251" s="82"/>
    </row>
    <row r="252" ht="22.5" hidden="1" customHeight="1" outlineLevel="1">
      <c r="A252" s="72"/>
      <c r="B252" s="73"/>
      <c r="C252" s="74"/>
      <c r="D252" s="78"/>
      <c r="E252" s="87"/>
      <c r="F252" s="75">
        <f>SUM(E246:E252)</f>
        <v>0</v>
      </c>
      <c r="G252" s="87"/>
      <c r="H252" s="77"/>
      <c r="I252" s="95"/>
      <c r="J252" s="85"/>
      <c r="K252" s="72"/>
      <c r="L252" s="80"/>
      <c r="M252" s="74"/>
      <c r="N252" s="80"/>
      <c r="O252" s="74"/>
      <c r="P252" s="81">
        <f>SUM(O246:O252)</f>
        <v>0</v>
      </c>
      <c r="Q252" s="74"/>
      <c r="R252" s="77"/>
      <c r="S252" s="82"/>
    </row>
    <row r="253" ht="22.5" hidden="1" customHeight="1" outlineLevel="1">
      <c r="A253" s="72"/>
      <c r="B253" s="73"/>
      <c r="C253" s="74"/>
      <c r="D253" s="78"/>
      <c r="E253" s="87"/>
      <c r="F253" s="75">
        <f>SUM(E246:E253)</f>
        <v>0</v>
      </c>
      <c r="G253" s="87"/>
      <c r="H253" s="77"/>
      <c r="I253" s="95"/>
      <c r="J253" s="85"/>
      <c r="K253" s="72"/>
      <c r="L253" s="80"/>
      <c r="M253" s="74"/>
      <c r="N253" s="80"/>
      <c r="O253" s="74"/>
      <c r="P253" s="81">
        <f>SUM(O246:O253)</f>
        <v>0</v>
      </c>
      <c r="Q253" s="74"/>
      <c r="R253" s="77"/>
      <c r="S253" s="82"/>
    </row>
    <row r="254" ht="22.5" hidden="1" customHeight="1" outlineLevel="1">
      <c r="A254" s="72"/>
      <c r="B254" s="73"/>
      <c r="C254" s="74"/>
      <c r="D254" s="78"/>
      <c r="E254" s="87"/>
      <c r="F254" s="75">
        <f>SUM(E246:E254)</f>
        <v>0</v>
      </c>
      <c r="G254" s="87"/>
      <c r="H254" s="77"/>
      <c r="I254" s="95"/>
      <c r="J254" s="85"/>
      <c r="K254" s="72"/>
      <c r="L254" s="80"/>
      <c r="M254" s="74"/>
      <c r="N254" s="80"/>
      <c r="O254" s="74"/>
      <c r="P254" s="81">
        <f>SUM(O246:O254)</f>
        <v>0</v>
      </c>
      <c r="Q254" s="74"/>
      <c r="R254" s="77"/>
      <c r="S254" s="82"/>
    </row>
    <row r="255" ht="22.5" hidden="1" customHeight="1" outlineLevel="1">
      <c r="A255" s="72"/>
      <c r="B255" s="73"/>
      <c r="C255" s="74"/>
      <c r="D255" s="78"/>
      <c r="E255" s="87"/>
      <c r="F255" s="75">
        <f>SUM(E246:E255)</f>
        <v>0</v>
      </c>
      <c r="G255" s="87"/>
      <c r="H255" s="77"/>
      <c r="I255" s="95"/>
      <c r="J255" s="85"/>
      <c r="K255" s="72"/>
      <c r="L255" s="80"/>
      <c r="M255" s="74"/>
      <c r="N255" s="80"/>
      <c r="O255" s="74"/>
      <c r="P255" s="81">
        <f>SUM(O246:O255)</f>
        <v>0</v>
      </c>
      <c r="Q255" s="74"/>
      <c r="R255" s="77"/>
      <c r="S255" s="82"/>
    </row>
    <row r="256" ht="22.5" hidden="1" customHeight="1" outlineLevel="1">
      <c r="A256" s="72"/>
      <c r="B256" s="73"/>
      <c r="C256" s="74"/>
      <c r="D256" s="78"/>
      <c r="E256" s="87"/>
      <c r="F256" s="75">
        <f>SUM(E246:E256)</f>
        <v>0</v>
      </c>
      <c r="G256" s="87"/>
      <c r="H256" s="77"/>
      <c r="I256" s="95"/>
      <c r="J256" s="85"/>
      <c r="K256" s="72"/>
      <c r="L256" s="80"/>
      <c r="M256" s="74"/>
      <c r="N256" s="80"/>
      <c r="O256" s="74"/>
      <c r="P256" s="81">
        <f>SUM(O246:O256)</f>
        <v>0</v>
      </c>
      <c r="Q256" s="74"/>
      <c r="R256" s="77"/>
      <c r="S256" s="82"/>
    </row>
    <row r="257" ht="22.5" hidden="1" customHeight="1" outlineLevel="1">
      <c r="A257" s="72"/>
      <c r="B257" s="73"/>
      <c r="C257" s="74"/>
      <c r="D257" s="78"/>
      <c r="E257" s="87"/>
      <c r="F257" s="75">
        <f>SUM(E246:E257)</f>
        <v>0</v>
      </c>
      <c r="G257" s="87"/>
      <c r="H257" s="77"/>
      <c r="I257" s="95"/>
      <c r="J257" s="85"/>
      <c r="K257" s="72"/>
      <c r="L257" s="80"/>
      <c r="M257" s="74"/>
      <c r="N257" s="80"/>
      <c r="O257" s="74"/>
      <c r="P257" s="81">
        <f>SUM(O246:O257)</f>
        <v>0</v>
      </c>
      <c r="Q257" s="74"/>
      <c r="R257" s="77"/>
      <c r="S257" s="82"/>
    </row>
    <row r="258" ht="22.5" hidden="1" customHeight="1" outlineLevel="1">
      <c r="A258" s="72"/>
      <c r="B258" s="73"/>
      <c r="C258" s="74"/>
      <c r="D258" s="78"/>
      <c r="E258" s="87"/>
      <c r="F258" s="75">
        <f>SUM(E246:E258)</f>
        <v>0</v>
      </c>
      <c r="G258" s="87"/>
      <c r="H258" s="77"/>
      <c r="I258" s="95"/>
      <c r="J258" s="85"/>
      <c r="K258" s="72"/>
      <c r="L258" s="80"/>
      <c r="M258" s="74"/>
      <c r="N258" s="80"/>
      <c r="O258" s="74"/>
      <c r="P258" s="81">
        <f>SUM(O246:O258)</f>
        <v>0</v>
      </c>
      <c r="Q258" s="74"/>
      <c r="R258" s="77"/>
      <c r="S258" s="82"/>
    </row>
    <row r="259" ht="22.5" hidden="1" customHeight="1" outlineLevel="1">
      <c r="A259" s="72"/>
      <c r="B259" s="73"/>
      <c r="C259" s="74"/>
      <c r="D259" s="78"/>
      <c r="E259" s="87"/>
      <c r="F259" s="75">
        <f>SUM(E246:E259)</f>
        <v>0</v>
      </c>
      <c r="G259" s="87"/>
      <c r="H259" s="77"/>
      <c r="I259" s="95"/>
      <c r="J259" s="85"/>
      <c r="K259" s="72"/>
      <c r="L259" s="80"/>
      <c r="M259" s="74"/>
      <c r="N259" s="80"/>
      <c r="O259" s="74"/>
      <c r="P259" s="81">
        <f>SUM(O246:O259)</f>
        <v>0</v>
      </c>
      <c r="Q259" s="74"/>
      <c r="R259" s="77"/>
      <c r="S259" s="82"/>
    </row>
    <row r="260" ht="22.5" hidden="1" customHeight="1" outlineLevel="1">
      <c r="A260" s="72"/>
      <c r="B260" s="73"/>
      <c r="C260" s="74"/>
      <c r="D260" s="78"/>
      <c r="E260" s="87"/>
      <c r="F260" s="75">
        <f>SUM(E246:E260)</f>
        <v>0</v>
      </c>
      <c r="G260" s="87"/>
      <c r="H260" s="77"/>
      <c r="I260" s="95"/>
      <c r="J260" s="85"/>
      <c r="K260" s="72"/>
      <c r="L260" s="80"/>
      <c r="M260" s="74"/>
      <c r="N260" s="80"/>
      <c r="O260" s="74"/>
      <c r="P260" s="81">
        <f>SUM(O246:O260)</f>
        <v>0</v>
      </c>
      <c r="Q260" s="74"/>
      <c r="R260" s="77"/>
      <c r="S260" s="82"/>
    </row>
    <row r="261" ht="22.5" hidden="1" customHeight="1" outlineLevel="1">
      <c r="A261" s="72"/>
      <c r="B261" s="73"/>
      <c r="C261" s="74"/>
      <c r="D261" s="78"/>
      <c r="E261" s="87"/>
      <c r="F261" s="75">
        <f>SUM(E246:E261)</f>
        <v>0</v>
      </c>
      <c r="G261" s="87"/>
      <c r="H261" s="77"/>
      <c r="I261" s="95"/>
      <c r="J261" s="85"/>
      <c r="K261" s="72"/>
      <c r="L261" s="80"/>
      <c r="M261" s="74"/>
      <c r="N261" s="80"/>
      <c r="O261" s="74"/>
      <c r="P261" s="81">
        <f>SUM(O246:O261)</f>
        <v>0</v>
      </c>
      <c r="Q261" s="74"/>
      <c r="R261" s="77"/>
      <c r="S261" s="82"/>
    </row>
    <row r="262" ht="22.5" hidden="1" customHeight="1" outlineLevel="1">
      <c r="A262" s="72"/>
      <c r="B262" s="73"/>
      <c r="C262" s="74"/>
      <c r="D262" s="78"/>
      <c r="E262" s="87"/>
      <c r="F262" s="75">
        <f>SUM(E246:E262)</f>
        <v>0</v>
      </c>
      <c r="G262" s="87"/>
      <c r="H262" s="77"/>
      <c r="I262" s="95"/>
      <c r="J262" s="85"/>
      <c r="K262" s="72"/>
      <c r="L262" s="80"/>
      <c r="M262" s="74"/>
      <c r="N262" s="80"/>
      <c r="O262" s="74"/>
      <c r="P262" s="81">
        <f>SUM(O246:O262)</f>
        <v>0</v>
      </c>
      <c r="Q262" s="74"/>
      <c r="R262" s="77"/>
      <c r="S262" s="82"/>
    </row>
    <row r="263" ht="22.5" hidden="1" customHeight="1" outlineLevel="1">
      <c r="A263" s="72"/>
      <c r="B263" s="73"/>
      <c r="C263" s="74"/>
      <c r="D263" s="78"/>
      <c r="E263" s="87"/>
      <c r="F263" s="75">
        <f>SUM(E247:E263,E246)</f>
        <v>0</v>
      </c>
      <c r="G263" s="87"/>
      <c r="H263" s="77"/>
      <c r="I263" s="95"/>
      <c r="J263" s="85"/>
      <c r="K263" s="72"/>
      <c r="L263" s="80"/>
      <c r="M263" s="74"/>
      <c r="N263" s="80"/>
      <c r="O263" s="74"/>
      <c r="P263" s="81">
        <f>SUM(O247:O263,O246)</f>
        <v>0</v>
      </c>
      <c r="Q263" s="74"/>
      <c r="R263" s="77"/>
      <c r="S263" s="82"/>
    </row>
    <row r="264">
      <c r="A264" s="88"/>
      <c r="B264" s="89"/>
      <c r="C264" s="88"/>
      <c r="D264" s="89"/>
      <c r="E264" s="89"/>
      <c r="F264" s="89"/>
      <c r="G264" s="89"/>
      <c r="H264" s="88"/>
      <c r="I264" s="89"/>
      <c r="J264" s="70"/>
      <c r="K264" s="70"/>
      <c r="L264" s="70"/>
      <c r="M264" s="70"/>
      <c r="N264" s="70"/>
      <c r="O264" s="70"/>
      <c r="P264" s="70"/>
      <c r="Q264" s="70"/>
      <c r="R264" s="70"/>
      <c r="S264" s="70"/>
    </row>
    <row r="265">
      <c r="A265" s="90" t="s">
        <v>135</v>
      </c>
      <c r="B265" s="42"/>
      <c r="C265" s="99" t="s">
        <v>101</v>
      </c>
      <c r="D265" s="64">
        <v>46023.0</v>
      </c>
      <c r="E265" s="100" t="s">
        <v>102</v>
      </c>
      <c r="F265" s="24"/>
      <c r="G265" s="66"/>
      <c r="H265" s="23"/>
      <c r="I265" s="24"/>
      <c r="J265" s="67"/>
      <c r="K265" s="62" t="s">
        <v>136</v>
      </c>
      <c r="L265" s="42"/>
      <c r="M265" s="99" t="s">
        <v>101</v>
      </c>
      <c r="N265" s="64">
        <v>46023.0</v>
      </c>
      <c r="O265" s="100" t="s">
        <v>102</v>
      </c>
      <c r="P265" s="24"/>
      <c r="Q265" s="66"/>
      <c r="R265" s="23"/>
      <c r="S265" s="24"/>
    </row>
    <row r="266">
      <c r="A266" s="93"/>
      <c r="C266" s="3"/>
      <c r="D266" s="3"/>
      <c r="E266" s="100" t="s">
        <v>104</v>
      </c>
      <c r="F266" s="24"/>
      <c r="G266" s="66"/>
      <c r="H266" s="23"/>
      <c r="I266" s="24"/>
      <c r="J266" s="67"/>
      <c r="K266" s="50"/>
      <c r="L266" s="51"/>
      <c r="M266" s="3"/>
      <c r="N266" s="3"/>
      <c r="O266" s="100" t="s">
        <v>104</v>
      </c>
      <c r="P266" s="24"/>
      <c r="Q266" s="66"/>
      <c r="R266" s="23"/>
      <c r="S266" s="24"/>
    </row>
    <row r="267" ht="22.5" customHeight="1" collapsed="1">
      <c r="A267" s="69" t="s">
        <v>105</v>
      </c>
      <c r="B267" s="69" t="s">
        <v>106</v>
      </c>
      <c r="C267" s="69" t="s">
        <v>107</v>
      </c>
      <c r="D267" s="69" t="s">
        <v>108</v>
      </c>
      <c r="E267" s="69" t="s">
        <v>109</v>
      </c>
      <c r="F267" s="69" t="s">
        <v>110</v>
      </c>
      <c r="G267" s="69" t="s">
        <v>111</v>
      </c>
      <c r="H267" s="69" t="s">
        <v>112</v>
      </c>
      <c r="I267" s="69" t="s">
        <v>22</v>
      </c>
      <c r="J267" s="70"/>
      <c r="K267" s="101" t="s">
        <v>105</v>
      </c>
      <c r="L267" s="101" t="s">
        <v>106</v>
      </c>
      <c r="M267" s="101" t="s">
        <v>107</v>
      </c>
      <c r="N267" s="101" t="s">
        <v>108</v>
      </c>
      <c r="O267" s="101" t="s">
        <v>109</v>
      </c>
      <c r="P267" s="101" t="s">
        <v>110</v>
      </c>
      <c r="Q267" s="101" t="s">
        <v>111</v>
      </c>
      <c r="R267" s="101" t="s">
        <v>112</v>
      </c>
      <c r="S267" s="101" t="s">
        <v>22</v>
      </c>
    </row>
    <row r="268" ht="22.5" hidden="1" customHeight="1" outlineLevel="1">
      <c r="A268" s="72"/>
      <c r="B268" s="78"/>
      <c r="C268" s="74"/>
      <c r="D268" s="78"/>
      <c r="E268" s="87"/>
      <c r="F268" s="75">
        <f>SUM(E268)</f>
        <v>0</v>
      </c>
      <c r="G268" s="87"/>
      <c r="H268" s="77"/>
      <c r="I268" s="95"/>
      <c r="J268" s="79"/>
      <c r="K268" s="72"/>
      <c r="L268" s="80"/>
      <c r="M268" s="74"/>
      <c r="N268" s="80"/>
      <c r="O268" s="74"/>
      <c r="P268" s="81">
        <f>SUM(O268)</f>
        <v>0</v>
      </c>
      <c r="Q268" s="74"/>
      <c r="R268" s="77"/>
      <c r="S268" s="82"/>
    </row>
    <row r="269" ht="22.5" hidden="1" customHeight="1" outlineLevel="1">
      <c r="A269" s="72"/>
      <c r="B269" s="78"/>
      <c r="C269" s="74"/>
      <c r="D269" s="78"/>
      <c r="E269" s="87"/>
      <c r="F269" s="75">
        <f>SUM(E268:E269)</f>
        <v>0</v>
      </c>
      <c r="G269" s="87"/>
      <c r="H269" s="77"/>
      <c r="I269" s="95"/>
      <c r="J269" s="85"/>
      <c r="K269" s="72"/>
      <c r="L269" s="80"/>
      <c r="M269" s="74"/>
      <c r="N269" s="80"/>
      <c r="O269" s="74"/>
      <c r="P269" s="81">
        <f>SUM(O268:O269)</f>
        <v>0</v>
      </c>
      <c r="Q269" s="74"/>
      <c r="R269" s="77"/>
      <c r="S269" s="82"/>
    </row>
    <row r="270" ht="22.5" hidden="1" customHeight="1" outlineLevel="1">
      <c r="A270" s="72"/>
      <c r="B270" s="78"/>
      <c r="C270" s="74"/>
      <c r="D270" s="78"/>
      <c r="E270" s="87"/>
      <c r="F270" s="75">
        <f>SUM(E268:E270)</f>
        <v>0</v>
      </c>
      <c r="G270" s="87"/>
      <c r="H270" s="77"/>
      <c r="I270" s="95"/>
      <c r="J270" s="86"/>
      <c r="K270" s="72"/>
      <c r="L270" s="80"/>
      <c r="M270" s="74"/>
      <c r="N270" s="80"/>
      <c r="O270" s="74"/>
      <c r="P270" s="81">
        <f>SUM(O268:O270)</f>
        <v>0</v>
      </c>
      <c r="Q270" s="74"/>
      <c r="R270" s="77"/>
      <c r="S270" s="82"/>
    </row>
    <row r="271" ht="22.5" hidden="1" customHeight="1" outlineLevel="1">
      <c r="A271" s="72"/>
      <c r="B271" s="78"/>
      <c r="C271" s="74"/>
      <c r="D271" s="78"/>
      <c r="E271" s="87"/>
      <c r="F271" s="75">
        <f>SUM(E268:E271)</f>
        <v>0</v>
      </c>
      <c r="G271" s="87"/>
      <c r="H271" s="77"/>
      <c r="I271" s="95"/>
      <c r="J271" s="85"/>
      <c r="K271" s="72"/>
      <c r="L271" s="80"/>
      <c r="M271" s="74"/>
      <c r="N271" s="80"/>
      <c r="O271" s="74"/>
      <c r="P271" s="81">
        <f>SUM(O268:O271)</f>
        <v>0</v>
      </c>
      <c r="Q271" s="74"/>
      <c r="R271" s="77"/>
      <c r="S271" s="82"/>
    </row>
    <row r="272" ht="22.5" hidden="1" customHeight="1" outlineLevel="1">
      <c r="A272" s="72"/>
      <c r="B272" s="78"/>
      <c r="C272" s="74"/>
      <c r="D272" s="78"/>
      <c r="E272" s="87"/>
      <c r="F272" s="75">
        <f>SUM(E268:E272)</f>
        <v>0</v>
      </c>
      <c r="G272" s="87"/>
      <c r="H272" s="77"/>
      <c r="I272" s="95"/>
      <c r="J272" s="85"/>
      <c r="K272" s="72"/>
      <c r="L272" s="80"/>
      <c r="M272" s="74"/>
      <c r="N272" s="80"/>
      <c r="O272" s="74"/>
      <c r="P272" s="81">
        <f>SUM(O268:O272)</f>
        <v>0</v>
      </c>
      <c r="Q272" s="74"/>
      <c r="R272" s="77"/>
      <c r="S272" s="82"/>
    </row>
    <row r="273" ht="22.5" hidden="1" customHeight="1" outlineLevel="1">
      <c r="A273" s="72"/>
      <c r="B273" s="78"/>
      <c r="C273" s="74"/>
      <c r="D273" s="78"/>
      <c r="E273" s="87"/>
      <c r="F273" s="75">
        <f>SUM(E268:E273)</f>
        <v>0</v>
      </c>
      <c r="G273" s="87"/>
      <c r="H273" s="77"/>
      <c r="I273" s="95"/>
      <c r="J273" s="85"/>
      <c r="K273" s="72"/>
      <c r="L273" s="80"/>
      <c r="M273" s="74"/>
      <c r="N273" s="80"/>
      <c r="O273" s="74"/>
      <c r="P273" s="81">
        <f>SUM(O268:O273)</f>
        <v>0</v>
      </c>
      <c r="Q273" s="74"/>
      <c r="R273" s="77"/>
      <c r="S273" s="82"/>
    </row>
    <row r="274" ht="22.5" hidden="1" customHeight="1" outlineLevel="1">
      <c r="A274" s="72"/>
      <c r="B274" s="78"/>
      <c r="C274" s="74"/>
      <c r="D274" s="78"/>
      <c r="E274" s="87"/>
      <c r="F274" s="75">
        <f>SUM(E268:E274)</f>
        <v>0</v>
      </c>
      <c r="G274" s="87"/>
      <c r="H274" s="77"/>
      <c r="I274" s="95"/>
      <c r="J274" s="85"/>
      <c r="K274" s="72"/>
      <c r="L274" s="80"/>
      <c r="M274" s="74"/>
      <c r="N274" s="80"/>
      <c r="O274" s="74"/>
      <c r="P274" s="81">
        <f>SUM(O268:O274)</f>
        <v>0</v>
      </c>
      <c r="Q274" s="74"/>
      <c r="R274" s="77"/>
      <c r="S274" s="82"/>
    </row>
    <row r="275" ht="22.5" hidden="1" customHeight="1" outlineLevel="1">
      <c r="A275" s="72"/>
      <c r="B275" s="78"/>
      <c r="C275" s="74"/>
      <c r="D275" s="78"/>
      <c r="E275" s="87"/>
      <c r="F275" s="75">
        <f>SUM(E268:E275)</f>
        <v>0</v>
      </c>
      <c r="G275" s="87"/>
      <c r="H275" s="77"/>
      <c r="I275" s="95"/>
      <c r="J275" s="85"/>
      <c r="K275" s="72"/>
      <c r="L275" s="80"/>
      <c r="M275" s="74"/>
      <c r="N275" s="80"/>
      <c r="O275" s="74"/>
      <c r="P275" s="81">
        <f>SUM(O268:O275)</f>
        <v>0</v>
      </c>
      <c r="Q275" s="74"/>
      <c r="R275" s="77"/>
      <c r="S275" s="82"/>
    </row>
    <row r="276" ht="22.5" hidden="1" customHeight="1" outlineLevel="1">
      <c r="A276" s="72"/>
      <c r="B276" s="78"/>
      <c r="C276" s="74"/>
      <c r="D276" s="78"/>
      <c r="E276" s="87"/>
      <c r="F276" s="75">
        <f>SUM(E268:E276)</f>
        <v>0</v>
      </c>
      <c r="G276" s="87"/>
      <c r="H276" s="77"/>
      <c r="I276" s="95"/>
      <c r="J276" s="85"/>
      <c r="K276" s="72"/>
      <c r="L276" s="80"/>
      <c r="M276" s="74"/>
      <c r="N276" s="80"/>
      <c r="O276" s="74"/>
      <c r="P276" s="81">
        <f>SUM(O268:O276)</f>
        <v>0</v>
      </c>
      <c r="Q276" s="74"/>
      <c r="R276" s="77"/>
      <c r="S276" s="82"/>
    </row>
    <row r="277" ht="22.5" hidden="1" customHeight="1" outlineLevel="1">
      <c r="A277" s="72"/>
      <c r="B277" s="78"/>
      <c r="C277" s="74"/>
      <c r="D277" s="78"/>
      <c r="E277" s="87"/>
      <c r="F277" s="75">
        <f>SUM(E268:E277)</f>
        <v>0</v>
      </c>
      <c r="G277" s="87"/>
      <c r="H277" s="77"/>
      <c r="I277" s="95"/>
      <c r="J277" s="85"/>
      <c r="K277" s="72"/>
      <c r="L277" s="80"/>
      <c r="M277" s="74"/>
      <c r="N277" s="80"/>
      <c r="O277" s="74"/>
      <c r="P277" s="81">
        <f>SUM(O268:O277)</f>
        <v>0</v>
      </c>
      <c r="Q277" s="74"/>
      <c r="R277" s="77"/>
      <c r="S277" s="82"/>
    </row>
    <row r="278" ht="22.5" hidden="1" customHeight="1" outlineLevel="1">
      <c r="A278" s="72"/>
      <c r="B278" s="78"/>
      <c r="C278" s="74"/>
      <c r="D278" s="78"/>
      <c r="E278" s="87"/>
      <c r="F278" s="75">
        <f>SUM(E268:E278)</f>
        <v>0</v>
      </c>
      <c r="G278" s="87"/>
      <c r="H278" s="77"/>
      <c r="I278" s="95"/>
      <c r="J278" s="85"/>
      <c r="K278" s="72"/>
      <c r="L278" s="80"/>
      <c r="M278" s="74"/>
      <c r="N278" s="80"/>
      <c r="O278" s="74"/>
      <c r="P278" s="81">
        <f>SUM(O268:O278)</f>
        <v>0</v>
      </c>
      <c r="Q278" s="74"/>
      <c r="R278" s="77"/>
      <c r="S278" s="82"/>
    </row>
    <row r="279" ht="22.5" hidden="1" customHeight="1" outlineLevel="1">
      <c r="A279" s="72"/>
      <c r="B279" s="78"/>
      <c r="C279" s="74"/>
      <c r="D279" s="78"/>
      <c r="E279" s="87"/>
      <c r="F279" s="75">
        <f>SUM(E268:E279)</f>
        <v>0</v>
      </c>
      <c r="G279" s="87"/>
      <c r="H279" s="77"/>
      <c r="I279" s="95"/>
      <c r="J279" s="85"/>
      <c r="K279" s="72"/>
      <c r="L279" s="80"/>
      <c r="M279" s="74"/>
      <c r="N279" s="80"/>
      <c r="O279" s="74"/>
      <c r="P279" s="81">
        <f>SUM(O268:O279)</f>
        <v>0</v>
      </c>
      <c r="Q279" s="74"/>
      <c r="R279" s="77"/>
      <c r="S279" s="82"/>
    </row>
    <row r="280" ht="22.5" hidden="1" customHeight="1" outlineLevel="1">
      <c r="A280" s="72"/>
      <c r="B280" s="78"/>
      <c r="C280" s="74"/>
      <c r="D280" s="78"/>
      <c r="E280" s="87"/>
      <c r="F280" s="75">
        <f>SUM(E268:E280)</f>
        <v>0</v>
      </c>
      <c r="G280" s="87"/>
      <c r="H280" s="77"/>
      <c r="I280" s="95"/>
      <c r="J280" s="85"/>
      <c r="K280" s="72"/>
      <c r="L280" s="80"/>
      <c r="M280" s="74"/>
      <c r="N280" s="80"/>
      <c r="O280" s="74"/>
      <c r="P280" s="81">
        <f>SUM(O268:O280)</f>
        <v>0</v>
      </c>
      <c r="Q280" s="74"/>
      <c r="R280" s="77"/>
      <c r="S280" s="82"/>
    </row>
    <row r="281" ht="22.5" hidden="1" customHeight="1" outlineLevel="1">
      <c r="A281" s="72"/>
      <c r="B281" s="78"/>
      <c r="C281" s="74"/>
      <c r="D281" s="78"/>
      <c r="E281" s="87"/>
      <c r="F281" s="75">
        <f>SUM(E268:E281)</f>
        <v>0</v>
      </c>
      <c r="G281" s="87"/>
      <c r="H281" s="77"/>
      <c r="I281" s="95"/>
      <c r="J281" s="85"/>
      <c r="K281" s="72"/>
      <c r="L281" s="80"/>
      <c r="M281" s="74"/>
      <c r="N281" s="80"/>
      <c r="O281" s="74"/>
      <c r="P281" s="81">
        <f>SUM(O268:O281)</f>
        <v>0</v>
      </c>
      <c r="Q281" s="74"/>
      <c r="R281" s="77"/>
      <c r="S281" s="82"/>
    </row>
    <row r="282" ht="22.5" hidden="1" customHeight="1" outlineLevel="1">
      <c r="A282" s="72"/>
      <c r="B282" s="78"/>
      <c r="C282" s="74"/>
      <c r="D282" s="78"/>
      <c r="E282" s="87"/>
      <c r="F282" s="75">
        <f>SUM(E268:E282)</f>
        <v>0</v>
      </c>
      <c r="G282" s="87"/>
      <c r="H282" s="77"/>
      <c r="I282" s="95"/>
      <c r="J282" s="85"/>
      <c r="K282" s="72"/>
      <c r="L282" s="80"/>
      <c r="M282" s="74"/>
      <c r="N282" s="80"/>
      <c r="O282" s="74"/>
      <c r="P282" s="81">
        <f>SUM(O268:O282)</f>
        <v>0</v>
      </c>
      <c r="Q282" s="74"/>
      <c r="R282" s="77"/>
      <c r="S282" s="82"/>
    </row>
    <row r="283" ht="22.5" hidden="1" customHeight="1" outlineLevel="1">
      <c r="A283" s="72"/>
      <c r="B283" s="78"/>
      <c r="C283" s="74"/>
      <c r="D283" s="78"/>
      <c r="E283" s="87"/>
      <c r="F283" s="75">
        <f>SUM(E268:E283)</f>
        <v>0</v>
      </c>
      <c r="G283" s="87"/>
      <c r="H283" s="77"/>
      <c r="I283" s="95"/>
      <c r="J283" s="85"/>
      <c r="K283" s="72"/>
      <c r="L283" s="80"/>
      <c r="M283" s="74"/>
      <c r="N283" s="80"/>
      <c r="O283" s="74"/>
      <c r="P283" s="81">
        <f>SUM(O268:O283)</f>
        <v>0</v>
      </c>
      <c r="Q283" s="74"/>
      <c r="R283" s="77"/>
      <c r="S283" s="82"/>
    </row>
    <row r="284" ht="22.5" hidden="1" customHeight="1" outlineLevel="1">
      <c r="A284" s="72"/>
      <c r="B284" s="78"/>
      <c r="C284" s="74"/>
      <c r="D284" s="78"/>
      <c r="E284" s="87"/>
      <c r="F284" s="75">
        <f>SUM(E268:E284)</f>
        <v>0</v>
      </c>
      <c r="G284" s="87"/>
      <c r="H284" s="77"/>
      <c r="I284" s="95"/>
      <c r="J284" s="85"/>
      <c r="K284" s="72"/>
      <c r="L284" s="80"/>
      <c r="M284" s="74"/>
      <c r="N284" s="80"/>
      <c r="O284" s="74"/>
      <c r="P284" s="81">
        <f>SUM(O268:O284)</f>
        <v>0</v>
      </c>
      <c r="Q284" s="74"/>
      <c r="R284" s="77"/>
      <c r="S284" s="82"/>
    </row>
    <row r="285" ht="22.5" hidden="1" customHeight="1" outlineLevel="1">
      <c r="A285" s="72"/>
      <c r="B285" s="78"/>
      <c r="C285" s="74"/>
      <c r="D285" s="78"/>
      <c r="E285" s="87"/>
      <c r="F285" s="75">
        <f>SUM(E269:E285,E268)</f>
        <v>0</v>
      </c>
      <c r="G285" s="87"/>
      <c r="H285" s="77"/>
      <c r="I285" s="95"/>
      <c r="J285" s="85"/>
      <c r="K285" s="72"/>
      <c r="L285" s="80"/>
      <c r="M285" s="74"/>
      <c r="N285" s="80"/>
      <c r="O285" s="74"/>
      <c r="P285" s="81">
        <f>SUM(O269:O285,O268)</f>
        <v>0</v>
      </c>
      <c r="Q285" s="74"/>
      <c r="R285" s="77"/>
      <c r="S285" s="82"/>
    </row>
    <row r="286">
      <c r="A286" s="88"/>
      <c r="B286" s="89"/>
      <c r="C286" s="88"/>
      <c r="D286" s="89"/>
      <c r="E286" s="89"/>
      <c r="F286" s="89"/>
      <c r="G286" s="89"/>
      <c r="H286" s="88"/>
      <c r="I286" s="89"/>
      <c r="J286" s="70"/>
      <c r="K286" s="70"/>
      <c r="L286" s="70"/>
      <c r="M286" s="70"/>
      <c r="N286" s="70"/>
      <c r="O286" s="70"/>
      <c r="P286" s="70"/>
      <c r="Q286" s="70"/>
      <c r="R286" s="70"/>
      <c r="S286" s="70"/>
    </row>
    <row r="287">
      <c r="A287" s="90" t="s">
        <v>137</v>
      </c>
      <c r="B287" s="42"/>
      <c r="C287" s="102" t="s">
        <v>101</v>
      </c>
      <c r="D287" s="64">
        <v>46023.0</v>
      </c>
      <c r="E287" s="103" t="s">
        <v>102</v>
      </c>
      <c r="F287" s="24"/>
      <c r="G287" s="66"/>
      <c r="H287" s="23"/>
      <c r="I287" s="24"/>
      <c r="J287" s="67"/>
      <c r="K287" s="62" t="s">
        <v>138</v>
      </c>
      <c r="L287" s="42"/>
      <c r="M287" s="102" t="s">
        <v>101</v>
      </c>
      <c r="N287" s="64">
        <v>46023.0</v>
      </c>
      <c r="O287" s="103" t="s">
        <v>102</v>
      </c>
      <c r="P287" s="24"/>
      <c r="Q287" s="66"/>
      <c r="R287" s="23"/>
      <c r="S287" s="24"/>
    </row>
    <row r="288">
      <c r="A288" s="93"/>
      <c r="C288" s="3"/>
      <c r="D288" s="3"/>
      <c r="E288" s="103" t="s">
        <v>104</v>
      </c>
      <c r="F288" s="24"/>
      <c r="G288" s="66"/>
      <c r="H288" s="23"/>
      <c r="I288" s="24"/>
      <c r="J288" s="67"/>
      <c r="K288" s="50"/>
      <c r="L288" s="51"/>
      <c r="M288" s="3"/>
      <c r="N288" s="3"/>
      <c r="O288" s="103" t="s">
        <v>104</v>
      </c>
      <c r="P288" s="24"/>
      <c r="Q288" s="66"/>
      <c r="R288" s="23"/>
      <c r="S288" s="24"/>
    </row>
    <row r="289" ht="22.5" customHeight="1" collapsed="1">
      <c r="A289" s="69" t="s">
        <v>105</v>
      </c>
      <c r="B289" s="69" t="s">
        <v>106</v>
      </c>
      <c r="C289" s="69" t="s">
        <v>107</v>
      </c>
      <c r="D289" s="69" t="s">
        <v>108</v>
      </c>
      <c r="E289" s="69" t="s">
        <v>109</v>
      </c>
      <c r="F289" s="69" t="s">
        <v>110</v>
      </c>
      <c r="G289" s="69" t="s">
        <v>111</v>
      </c>
      <c r="H289" s="69" t="s">
        <v>112</v>
      </c>
      <c r="I289" s="69" t="s">
        <v>22</v>
      </c>
      <c r="J289" s="70"/>
      <c r="K289" s="104" t="s">
        <v>105</v>
      </c>
      <c r="L289" s="104" t="s">
        <v>106</v>
      </c>
      <c r="M289" s="104" t="s">
        <v>107</v>
      </c>
      <c r="N289" s="104" t="s">
        <v>108</v>
      </c>
      <c r="O289" s="104" t="s">
        <v>109</v>
      </c>
      <c r="P289" s="104" t="s">
        <v>110</v>
      </c>
      <c r="Q289" s="104" t="s">
        <v>111</v>
      </c>
      <c r="R289" s="104" t="s">
        <v>112</v>
      </c>
      <c r="S289" s="104" t="s">
        <v>22</v>
      </c>
    </row>
    <row r="290" ht="22.5" hidden="1" customHeight="1" outlineLevel="1">
      <c r="A290" s="72"/>
      <c r="B290" s="73"/>
      <c r="C290" s="74"/>
      <c r="D290" s="78"/>
      <c r="E290" s="87"/>
      <c r="F290" s="75">
        <f>SUM(E290)</f>
        <v>0</v>
      </c>
      <c r="G290" s="87"/>
      <c r="H290" s="77"/>
      <c r="I290" s="95"/>
      <c r="J290" s="79"/>
      <c r="K290" s="72"/>
      <c r="L290" s="80"/>
      <c r="M290" s="74"/>
      <c r="N290" s="80"/>
      <c r="O290" s="74"/>
      <c r="P290" s="81">
        <f>SUM(O290)</f>
        <v>0</v>
      </c>
      <c r="Q290" s="74"/>
      <c r="R290" s="77"/>
      <c r="S290" s="82"/>
    </row>
    <row r="291" ht="22.5" hidden="1" customHeight="1" outlineLevel="1">
      <c r="A291" s="72"/>
      <c r="B291" s="73"/>
      <c r="C291" s="74"/>
      <c r="D291" s="78"/>
      <c r="E291" s="87"/>
      <c r="F291" s="75">
        <f>SUM(E290:E291)</f>
        <v>0</v>
      </c>
      <c r="G291" s="87"/>
      <c r="H291" s="77"/>
      <c r="I291" s="95"/>
      <c r="J291" s="85"/>
      <c r="K291" s="72"/>
      <c r="L291" s="80"/>
      <c r="M291" s="74"/>
      <c r="N291" s="80"/>
      <c r="O291" s="74"/>
      <c r="P291" s="81">
        <f>SUM(O290:O291)</f>
        <v>0</v>
      </c>
      <c r="Q291" s="74"/>
      <c r="R291" s="77"/>
      <c r="S291" s="82"/>
    </row>
    <row r="292" ht="22.5" hidden="1" customHeight="1" outlineLevel="1">
      <c r="A292" s="72"/>
      <c r="B292" s="73"/>
      <c r="C292" s="74"/>
      <c r="D292" s="78"/>
      <c r="E292" s="87"/>
      <c r="F292" s="75">
        <f>SUM(E290:E292)</f>
        <v>0</v>
      </c>
      <c r="G292" s="87"/>
      <c r="H292" s="77"/>
      <c r="I292" s="95"/>
      <c r="J292" s="86"/>
      <c r="K292" s="72"/>
      <c r="L292" s="80"/>
      <c r="M292" s="74"/>
      <c r="N292" s="80"/>
      <c r="O292" s="74"/>
      <c r="P292" s="81">
        <f>SUM(O290:O292)</f>
        <v>0</v>
      </c>
      <c r="Q292" s="74"/>
      <c r="R292" s="77"/>
      <c r="S292" s="82"/>
    </row>
    <row r="293" ht="22.5" hidden="1" customHeight="1" outlineLevel="1">
      <c r="A293" s="72"/>
      <c r="B293" s="73"/>
      <c r="C293" s="74"/>
      <c r="D293" s="78"/>
      <c r="E293" s="87"/>
      <c r="F293" s="75">
        <f>SUM(E290:E293)</f>
        <v>0</v>
      </c>
      <c r="G293" s="87"/>
      <c r="H293" s="77"/>
      <c r="I293" s="95"/>
      <c r="J293" s="85"/>
      <c r="K293" s="72"/>
      <c r="L293" s="80"/>
      <c r="M293" s="74"/>
      <c r="N293" s="80"/>
      <c r="O293" s="74"/>
      <c r="P293" s="81">
        <f>SUM(O290:O293)</f>
        <v>0</v>
      </c>
      <c r="Q293" s="74"/>
      <c r="R293" s="77"/>
      <c r="S293" s="82"/>
    </row>
    <row r="294" ht="22.5" hidden="1" customHeight="1" outlineLevel="1">
      <c r="A294" s="72"/>
      <c r="B294" s="73"/>
      <c r="C294" s="74"/>
      <c r="D294" s="78"/>
      <c r="E294" s="87"/>
      <c r="F294" s="75">
        <f>SUM(E290:E294)</f>
        <v>0</v>
      </c>
      <c r="G294" s="87"/>
      <c r="H294" s="77"/>
      <c r="I294" s="95"/>
      <c r="J294" s="85"/>
      <c r="K294" s="72"/>
      <c r="L294" s="80"/>
      <c r="M294" s="74"/>
      <c r="N294" s="80"/>
      <c r="O294" s="74"/>
      <c r="P294" s="81">
        <f>SUM(O290:O294)</f>
        <v>0</v>
      </c>
      <c r="Q294" s="74"/>
      <c r="R294" s="77"/>
      <c r="S294" s="82"/>
    </row>
    <row r="295" ht="22.5" hidden="1" customHeight="1" outlineLevel="1">
      <c r="A295" s="72"/>
      <c r="B295" s="73"/>
      <c r="C295" s="74"/>
      <c r="D295" s="78"/>
      <c r="E295" s="87"/>
      <c r="F295" s="75">
        <f>SUM(E290:E295)</f>
        <v>0</v>
      </c>
      <c r="G295" s="87"/>
      <c r="H295" s="77"/>
      <c r="I295" s="95"/>
      <c r="J295" s="85"/>
      <c r="K295" s="72"/>
      <c r="L295" s="80"/>
      <c r="M295" s="74"/>
      <c r="N295" s="80"/>
      <c r="O295" s="74"/>
      <c r="P295" s="81">
        <f>SUM(O290:O295)</f>
        <v>0</v>
      </c>
      <c r="Q295" s="74"/>
      <c r="R295" s="77"/>
      <c r="S295" s="82"/>
    </row>
    <row r="296" ht="22.5" hidden="1" customHeight="1" outlineLevel="1">
      <c r="A296" s="72"/>
      <c r="B296" s="73"/>
      <c r="C296" s="74"/>
      <c r="D296" s="78"/>
      <c r="E296" s="87"/>
      <c r="F296" s="75">
        <f>SUM(E290:E296)</f>
        <v>0</v>
      </c>
      <c r="G296" s="87"/>
      <c r="H296" s="77"/>
      <c r="I296" s="95"/>
      <c r="J296" s="85"/>
      <c r="K296" s="72"/>
      <c r="L296" s="80"/>
      <c r="M296" s="74"/>
      <c r="N296" s="80"/>
      <c r="O296" s="74"/>
      <c r="P296" s="81">
        <f>SUM(O290:O296)</f>
        <v>0</v>
      </c>
      <c r="Q296" s="74"/>
      <c r="R296" s="77"/>
      <c r="S296" s="82"/>
    </row>
    <row r="297" ht="22.5" hidden="1" customHeight="1" outlineLevel="1">
      <c r="A297" s="72"/>
      <c r="B297" s="73"/>
      <c r="C297" s="74"/>
      <c r="D297" s="78"/>
      <c r="E297" s="87"/>
      <c r="F297" s="75">
        <f>SUM(E290:E297)</f>
        <v>0</v>
      </c>
      <c r="G297" s="87"/>
      <c r="H297" s="77"/>
      <c r="I297" s="95"/>
      <c r="J297" s="85"/>
      <c r="K297" s="72"/>
      <c r="L297" s="80"/>
      <c r="M297" s="74"/>
      <c r="N297" s="80"/>
      <c r="O297" s="74"/>
      <c r="P297" s="81">
        <f>SUM(O290:O297)</f>
        <v>0</v>
      </c>
      <c r="Q297" s="74"/>
      <c r="R297" s="77"/>
      <c r="S297" s="82"/>
    </row>
    <row r="298" ht="22.5" hidden="1" customHeight="1" outlineLevel="1">
      <c r="A298" s="72"/>
      <c r="B298" s="73"/>
      <c r="C298" s="74"/>
      <c r="D298" s="78"/>
      <c r="E298" s="87"/>
      <c r="F298" s="75">
        <f>SUM(E290:E298)</f>
        <v>0</v>
      </c>
      <c r="G298" s="87"/>
      <c r="H298" s="77"/>
      <c r="I298" s="95"/>
      <c r="J298" s="85"/>
      <c r="K298" s="72"/>
      <c r="L298" s="80"/>
      <c r="M298" s="74"/>
      <c r="N298" s="80"/>
      <c r="O298" s="74"/>
      <c r="P298" s="81">
        <f>SUM(O290:O298)</f>
        <v>0</v>
      </c>
      <c r="Q298" s="74"/>
      <c r="R298" s="77"/>
      <c r="S298" s="82"/>
    </row>
    <row r="299" ht="22.5" hidden="1" customHeight="1" outlineLevel="1">
      <c r="A299" s="72"/>
      <c r="B299" s="73"/>
      <c r="C299" s="74"/>
      <c r="D299" s="78"/>
      <c r="E299" s="87"/>
      <c r="F299" s="75">
        <f>SUM(E290:E299)</f>
        <v>0</v>
      </c>
      <c r="G299" s="87"/>
      <c r="H299" s="77"/>
      <c r="I299" s="95"/>
      <c r="J299" s="85"/>
      <c r="K299" s="72"/>
      <c r="L299" s="80"/>
      <c r="M299" s="74"/>
      <c r="N299" s="80"/>
      <c r="O299" s="74"/>
      <c r="P299" s="81">
        <f>SUM(O290:O299)</f>
        <v>0</v>
      </c>
      <c r="Q299" s="74"/>
      <c r="R299" s="77"/>
      <c r="S299" s="82"/>
    </row>
    <row r="300" ht="22.5" hidden="1" customHeight="1" outlineLevel="1">
      <c r="A300" s="72"/>
      <c r="B300" s="73"/>
      <c r="C300" s="74"/>
      <c r="D300" s="78"/>
      <c r="E300" s="87"/>
      <c r="F300" s="75">
        <f>SUM(E290:E300)</f>
        <v>0</v>
      </c>
      <c r="G300" s="87"/>
      <c r="H300" s="77"/>
      <c r="I300" s="95"/>
      <c r="J300" s="85"/>
      <c r="K300" s="72"/>
      <c r="L300" s="80"/>
      <c r="M300" s="74"/>
      <c r="N300" s="80"/>
      <c r="O300" s="74"/>
      <c r="P300" s="81">
        <f>SUM(O290:O300)</f>
        <v>0</v>
      </c>
      <c r="Q300" s="74"/>
      <c r="R300" s="77"/>
      <c r="S300" s="82"/>
    </row>
    <row r="301" ht="22.5" hidden="1" customHeight="1" outlineLevel="1">
      <c r="A301" s="72"/>
      <c r="B301" s="73"/>
      <c r="C301" s="74"/>
      <c r="D301" s="78"/>
      <c r="E301" s="87"/>
      <c r="F301" s="75">
        <f>SUM(E290:E301)</f>
        <v>0</v>
      </c>
      <c r="G301" s="87"/>
      <c r="H301" s="77"/>
      <c r="I301" s="95"/>
      <c r="J301" s="85"/>
      <c r="K301" s="72"/>
      <c r="L301" s="80"/>
      <c r="M301" s="74"/>
      <c r="N301" s="80"/>
      <c r="O301" s="74"/>
      <c r="P301" s="81">
        <f>SUM(O290:O301)</f>
        <v>0</v>
      </c>
      <c r="Q301" s="74"/>
      <c r="R301" s="77"/>
      <c r="S301" s="82"/>
    </row>
    <row r="302" ht="22.5" hidden="1" customHeight="1" outlineLevel="1">
      <c r="A302" s="72"/>
      <c r="B302" s="73"/>
      <c r="C302" s="74"/>
      <c r="D302" s="78"/>
      <c r="E302" s="87"/>
      <c r="F302" s="75">
        <f>SUM(E290:E302)</f>
        <v>0</v>
      </c>
      <c r="G302" s="87"/>
      <c r="H302" s="77"/>
      <c r="I302" s="95"/>
      <c r="J302" s="85"/>
      <c r="K302" s="72"/>
      <c r="L302" s="80"/>
      <c r="M302" s="74"/>
      <c r="N302" s="80"/>
      <c r="O302" s="74"/>
      <c r="P302" s="81">
        <f>SUM(O290:O302)</f>
        <v>0</v>
      </c>
      <c r="Q302" s="74"/>
      <c r="R302" s="77"/>
      <c r="S302" s="82"/>
    </row>
    <row r="303" ht="22.5" hidden="1" customHeight="1" outlineLevel="1">
      <c r="A303" s="72"/>
      <c r="B303" s="73"/>
      <c r="C303" s="74"/>
      <c r="D303" s="78"/>
      <c r="E303" s="87"/>
      <c r="F303" s="75">
        <f>SUM(E290:E303)</f>
        <v>0</v>
      </c>
      <c r="G303" s="87"/>
      <c r="H303" s="77"/>
      <c r="I303" s="95"/>
      <c r="J303" s="85"/>
      <c r="K303" s="72"/>
      <c r="L303" s="80"/>
      <c r="M303" s="74"/>
      <c r="N303" s="80"/>
      <c r="O303" s="74"/>
      <c r="P303" s="81">
        <f>SUM(O290:O303)</f>
        <v>0</v>
      </c>
      <c r="Q303" s="74"/>
      <c r="R303" s="77"/>
      <c r="S303" s="82"/>
    </row>
    <row r="304" ht="22.5" hidden="1" customHeight="1" outlineLevel="1">
      <c r="A304" s="72"/>
      <c r="B304" s="73"/>
      <c r="C304" s="74"/>
      <c r="D304" s="78"/>
      <c r="E304" s="87"/>
      <c r="F304" s="75">
        <f>SUM(E290:E304)</f>
        <v>0</v>
      </c>
      <c r="G304" s="87"/>
      <c r="H304" s="77"/>
      <c r="I304" s="95"/>
      <c r="J304" s="85"/>
      <c r="K304" s="72"/>
      <c r="L304" s="80"/>
      <c r="M304" s="74"/>
      <c r="N304" s="80"/>
      <c r="O304" s="74"/>
      <c r="P304" s="81">
        <f>SUM(O290:O304)</f>
        <v>0</v>
      </c>
      <c r="Q304" s="74"/>
      <c r="R304" s="77"/>
      <c r="S304" s="82"/>
    </row>
    <row r="305" ht="22.5" hidden="1" customHeight="1" outlineLevel="1">
      <c r="A305" s="72"/>
      <c r="B305" s="73"/>
      <c r="C305" s="74"/>
      <c r="D305" s="78"/>
      <c r="E305" s="87"/>
      <c r="F305" s="75">
        <f>SUM(E290:E305)</f>
        <v>0</v>
      </c>
      <c r="G305" s="87"/>
      <c r="H305" s="77"/>
      <c r="I305" s="95"/>
      <c r="J305" s="85"/>
      <c r="K305" s="72"/>
      <c r="L305" s="80"/>
      <c r="M305" s="74"/>
      <c r="N305" s="80"/>
      <c r="O305" s="74"/>
      <c r="P305" s="81">
        <f>SUM(O290:O305)</f>
        <v>0</v>
      </c>
      <c r="Q305" s="74"/>
      <c r="R305" s="77"/>
      <c r="S305" s="82"/>
    </row>
    <row r="306" ht="22.5" hidden="1" customHeight="1" outlineLevel="1">
      <c r="A306" s="72"/>
      <c r="B306" s="73"/>
      <c r="C306" s="74"/>
      <c r="D306" s="78"/>
      <c r="E306" s="87"/>
      <c r="F306" s="75">
        <f>SUM(E290:E306)</f>
        <v>0</v>
      </c>
      <c r="G306" s="87"/>
      <c r="H306" s="77"/>
      <c r="I306" s="95"/>
      <c r="J306" s="85"/>
      <c r="K306" s="72"/>
      <c r="L306" s="80"/>
      <c r="M306" s="74"/>
      <c r="N306" s="80"/>
      <c r="O306" s="74"/>
      <c r="P306" s="81">
        <f>SUM(O290:O306)</f>
        <v>0</v>
      </c>
      <c r="Q306" s="74"/>
      <c r="R306" s="77"/>
      <c r="S306" s="82"/>
    </row>
    <row r="307" ht="22.5" hidden="1" customHeight="1" outlineLevel="1">
      <c r="A307" s="72"/>
      <c r="B307" s="73"/>
      <c r="C307" s="74"/>
      <c r="D307" s="78"/>
      <c r="E307" s="87"/>
      <c r="F307" s="75">
        <f>SUM(E291:E307,E290)</f>
        <v>0</v>
      </c>
      <c r="G307" s="87"/>
      <c r="H307" s="77"/>
      <c r="I307" s="95"/>
      <c r="J307" s="85"/>
      <c r="K307" s="72"/>
      <c r="L307" s="80"/>
      <c r="M307" s="74"/>
      <c r="N307" s="80"/>
      <c r="O307" s="74"/>
      <c r="P307" s="81">
        <f>SUM(O291:O307,O290)</f>
        <v>0</v>
      </c>
      <c r="Q307" s="74"/>
      <c r="R307" s="77"/>
      <c r="S307" s="82"/>
    </row>
    <row r="308">
      <c r="A308" s="88"/>
      <c r="B308" s="89"/>
      <c r="C308" s="88"/>
      <c r="D308" s="89"/>
      <c r="E308" s="89"/>
      <c r="F308" s="89"/>
      <c r="G308" s="89"/>
      <c r="H308" s="88"/>
      <c r="I308" s="89"/>
      <c r="J308" s="70"/>
      <c r="K308" s="70"/>
      <c r="L308" s="70"/>
      <c r="M308" s="70"/>
      <c r="N308" s="70"/>
      <c r="O308" s="70"/>
      <c r="P308" s="70"/>
      <c r="Q308" s="70"/>
      <c r="R308" s="70"/>
      <c r="S308" s="70"/>
    </row>
  </sheetData>
  <mergeCells count="210">
    <mergeCell ref="N1:N2"/>
    <mergeCell ref="O1:P1"/>
    <mergeCell ref="Q1:S1"/>
    <mergeCell ref="O2:P2"/>
    <mergeCell ref="Q2:S2"/>
    <mergeCell ref="A1:B1"/>
    <mergeCell ref="C1:C2"/>
    <mergeCell ref="D1:D2"/>
    <mergeCell ref="G1:I1"/>
    <mergeCell ref="K1:L2"/>
    <mergeCell ref="M1:M2"/>
    <mergeCell ref="A2:B2"/>
    <mergeCell ref="G2:I2"/>
    <mergeCell ref="K23:L24"/>
    <mergeCell ref="M23:M24"/>
    <mergeCell ref="N23:N24"/>
    <mergeCell ref="O23:P23"/>
    <mergeCell ref="Q23:S23"/>
    <mergeCell ref="O24:P24"/>
    <mergeCell ref="Q24:S24"/>
    <mergeCell ref="E1:F1"/>
    <mergeCell ref="E2:F2"/>
    <mergeCell ref="A23:B23"/>
    <mergeCell ref="C23:C24"/>
    <mergeCell ref="D23:D24"/>
    <mergeCell ref="G23:I23"/>
    <mergeCell ref="A24:B24"/>
    <mergeCell ref="G24:I24"/>
    <mergeCell ref="K45:L46"/>
    <mergeCell ref="M45:M46"/>
    <mergeCell ref="N45:N46"/>
    <mergeCell ref="O45:P45"/>
    <mergeCell ref="Q45:S45"/>
    <mergeCell ref="O46:P46"/>
    <mergeCell ref="Q46:S46"/>
    <mergeCell ref="K67:L68"/>
    <mergeCell ref="M67:M68"/>
    <mergeCell ref="N67:N68"/>
    <mergeCell ref="O67:P67"/>
    <mergeCell ref="Q67:S67"/>
    <mergeCell ref="O68:P68"/>
    <mergeCell ref="Q68:S68"/>
    <mergeCell ref="E67:F67"/>
    <mergeCell ref="E68:F68"/>
    <mergeCell ref="E23:F23"/>
    <mergeCell ref="E24:F24"/>
    <mergeCell ref="A45:B45"/>
    <mergeCell ref="C45:C46"/>
    <mergeCell ref="D45:D46"/>
    <mergeCell ref="G45:I45"/>
    <mergeCell ref="A46:B46"/>
    <mergeCell ref="G46:I46"/>
    <mergeCell ref="E45:F45"/>
    <mergeCell ref="E46:F46"/>
    <mergeCell ref="A67:B67"/>
    <mergeCell ref="C67:C68"/>
    <mergeCell ref="D67:D68"/>
    <mergeCell ref="G67:I67"/>
    <mergeCell ref="G68:I68"/>
    <mergeCell ref="M89:M90"/>
    <mergeCell ref="N89:N90"/>
    <mergeCell ref="O89:P89"/>
    <mergeCell ref="Q89:S89"/>
    <mergeCell ref="O90:P90"/>
    <mergeCell ref="Q90:S90"/>
    <mergeCell ref="A68:B68"/>
    <mergeCell ref="A89:B89"/>
    <mergeCell ref="C89:C90"/>
    <mergeCell ref="D89:D90"/>
    <mergeCell ref="G89:I89"/>
    <mergeCell ref="K89:L90"/>
    <mergeCell ref="A90:B90"/>
    <mergeCell ref="G90:I90"/>
    <mergeCell ref="K111:L112"/>
    <mergeCell ref="M111:M112"/>
    <mergeCell ref="N111:N112"/>
    <mergeCell ref="O111:P111"/>
    <mergeCell ref="Q111:S111"/>
    <mergeCell ref="O112:P112"/>
    <mergeCell ref="Q112:S112"/>
    <mergeCell ref="K133:L134"/>
    <mergeCell ref="M133:M134"/>
    <mergeCell ref="N133:N134"/>
    <mergeCell ref="O133:P133"/>
    <mergeCell ref="Q133:S133"/>
    <mergeCell ref="O134:P134"/>
    <mergeCell ref="Q134:S134"/>
    <mergeCell ref="E133:F133"/>
    <mergeCell ref="E134:F134"/>
    <mergeCell ref="E89:F89"/>
    <mergeCell ref="E90:F90"/>
    <mergeCell ref="A111:B111"/>
    <mergeCell ref="C111:C112"/>
    <mergeCell ref="D111:D112"/>
    <mergeCell ref="G111:I111"/>
    <mergeCell ref="A112:B112"/>
    <mergeCell ref="G112:I112"/>
    <mergeCell ref="E111:F111"/>
    <mergeCell ref="E112:F112"/>
    <mergeCell ref="A133:B133"/>
    <mergeCell ref="C133:C134"/>
    <mergeCell ref="D133:D134"/>
    <mergeCell ref="G133:I133"/>
    <mergeCell ref="G134:I134"/>
    <mergeCell ref="M155:M156"/>
    <mergeCell ref="N155:N156"/>
    <mergeCell ref="O155:P155"/>
    <mergeCell ref="Q155:S155"/>
    <mergeCell ref="O156:P156"/>
    <mergeCell ref="Q156:S156"/>
    <mergeCell ref="A134:B134"/>
    <mergeCell ref="A155:B155"/>
    <mergeCell ref="C155:C156"/>
    <mergeCell ref="D155:D156"/>
    <mergeCell ref="G155:I155"/>
    <mergeCell ref="K155:L156"/>
    <mergeCell ref="A156:B156"/>
    <mergeCell ref="G156:I156"/>
    <mergeCell ref="K177:L178"/>
    <mergeCell ref="M177:M178"/>
    <mergeCell ref="N177:N178"/>
    <mergeCell ref="O177:P177"/>
    <mergeCell ref="Q177:S177"/>
    <mergeCell ref="O178:P178"/>
    <mergeCell ref="Q178:S178"/>
    <mergeCell ref="K199:L200"/>
    <mergeCell ref="M199:M200"/>
    <mergeCell ref="N199:N200"/>
    <mergeCell ref="O199:P199"/>
    <mergeCell ref="Q199:S199"/>
    <mergeCell ref="O200:P200"/>
    <mergeCell ref="Q200:S200"/>
    <mergeCell ref="E199:F199"/>
    <mergeCell ref="E200:F200"/>
    <mergeCell ref="E221:F221"/>
    <mergeCell ref="E222:F222"/>
    <mergeCell ref="A243:B243"/>
    <mergeCell ref="C243:C244"/>
    <mergeCell ref="D243:D244"/>
    <mergeCell ref="G243:I243"/>
    <mergeCell ref="A244:B244"/>
    <mergeCell ref="G244:I244"/>
    <mergeCell ref="E243:F243"/>
    <mergeCell ref="E244:F244"/>
    <mergeCell ref="A265:B265"/>
    <mergeCell ref="C265:C266"/>
    <mergeCell ref="D265:D266"/>
    <mergeCell ref="G265:I265"/>
    <mergeCell ref="G266:I266"/>
    <mergeCell ref="M287:M288"/>
    <mergeCell ref="N287:N288"/>
    <mergeCell ref="O287:P287"/>
    <mergeCell ref="Q287:S287"/>
    <mergeCell ref="O288:P288"/>
    <mergeCell ref="Q288:S288"/>
    <mergeCell ref="E287:F287"/>
    <mergeCell ref="E288:F288"/>
    <mergeCell ref="A266:B266"/>
    <mergeCell ref="A287:B287"/>
    <mergeCell ref="C287:C288"/>
    <mergeCell ref="D287:D288"/>
    <mergeCell ref="G287:I287"/>
    <mergeCell ref="K287:L288"/>
    <mergeCell ref="A288:B288"/>
    <mergeCell ref="G288:I288"/>
    <mergeCell ref="E155:F155"/>
    <mergeCell ref="E156:F156"/>
    <mergeCell ref="A177:B177"/>
    <mergeCell ref="C177:C178"/>
    <mergeCell ref="D177:D178"/>
    <mergeCell ref="G177:I177"/>
    <mergeCell ref="A178:B178"/>
    <mergeCell ref="G178:I178"/>
    <mergeCell ref="E177:F177"/>
    <mergeCell ref="E178:F178"/>
    <mergeCell ref="A199:B199"/>
    <mergeCell ref="C199:C200"/>
    <mergeCell ref="D199:D200"/>
    <mergeCell ref="G199:I199"/>
    <mergeCell ref="G200:I200"/>
    <mergeCell ref="M221:M222"/>
    <mergeCell ref="N221:N222"/>
    <mergeCell ref="O221:P221"/>
    <mergeCell ref="Q221:S221"/>
    <mergeCell ref="O222:P222"/>
    <mergeCell ref="Q222:S222"/>
    <mergeCell ref="A200:B200"/>
    <mergeCell ref="A221:B221"/>
    <mergeCell ref="C221:C222"/>
    <mergeCell ref="D221:D222"/>
    <mergeCell ref="G221:I221"/>
    <mergeCell ref="K221:L222"/>
    <mergeCell ref="A222:B222"/>
    <mergeCell ref="G222:I222"/>
    <mergeCell ref="K243:L244"/>
    <mergeCell ref="M243:M244"/>
    <mergeCell ref="N243:N244"/>
    <mergeCell ref="O243:P243"/>
    <mergeCell ref="Q243:S243"/>
    <mergeCell ref="O244:P244"/>
    <mergeCell ref="Q244:S244"/>
    <mergeCell ref="K265:L266"/>
    <mergeCell ref="M265:M266"/>
    <mergeCell ref="N265:N266"/>
    <mergeCell ref="O265:P265"/>
    <mergeCell ref="Q265:S265"/>
    <mergeCell ref="O266:P266"/>
    <mergeCell ref="Q266:S266"/>
    <mergeCell ref="E265:F265"/>
    <mergeCell ref="E266:F266"/>
  </mergeCells>
  <dataValidations>
    <dataValidation type="list" allowBlank="1" showErrorMessage="1" sqref="C21 M4:M21 M26:M43 M48:M65 M70:M87 M92:M109 M114:M131 M136:M153 M158:M175 M180:M197 M202:M219 M224:M241 M246:M263 M268:M285 M290:M307">
      <formula1>"Yes,No"</formula1>
    </dataValidation>
    <dataValidation type="list" allowBlank="1" showErrorMessage="1" sqref="C4:C20 C26:C43 C48:C65 C70:C87 C92:C109 C114:C131 C136:C153 C158:C175 C180:C197 C202:C219 C224:C241 C246:C263 C268:C285 C290:C307">
      <formula1>"Yes,No"</formula1>
    </dataValidation>
    <dataValidation type="list" allowBlank="1" showErrorMessage="1" sqref="A4:A20 A26:A43 A48:A65 A70:A87 A92:A109 A114:A131 A136:A153 A158:A175 A180:A197 A202:A219 A224:A241 A246:A263 A268:A285 A290:A307">
      <formula1>"15 min before,00:20,00:30,00:40,1:00,1:20,1:30,1:40,2:00,2:20,2:30,2:40,3:00,3:20,3:30,3:40,4:00,4:20,4:30,4:40,5:00,5:20,5:30,5:40"</formula1>
    </dataValidation>
    <dataValidation type="list" allowBlank="1" showErrorMessage="1" sqref="H21 R4:R21 R26:R43 R48:R65 R70:R87 R92:R109 R114:R131 R136:R153 R158:R175 R180:R197 R202:R219 R224:R241 R246:R263 R268:R285 R290:R307">
      <formula1>"Felt Good,Too Much,Didn't Finish,Missed/ Skipped,Stomach Issues"</formula1>
    </dataValidation>
    <dataValidation type="list" allowBlank="1" showErrorMessage="1" sqref="H4:H20 H26:H43 H48:H65 H70:H87 H92:H109 H114:H131 H136:H153 H158:H175 H180:H197 H202:H219 H224:H241 H246:H263 H268:H285 H290:H307">
      <formula1>"Felt Good,Too Much,Didn't Finish,Missed/ Skipped,Stomach Issues"</formula1>
    </dataValidation>
    <dataValidation type="list" allowBlank="1" showErrorMessage="1" sqref="A21 K4:K21 K26:K43 K48:K65 K70:K87 K92:K109 K114:K131 K136:K153 K158:K175 K180:K197 K202:K219 K224:K241 K246:K263 K268:K285 K290:K307">
      <formula1>"15 min before,00:20,00:30,00:40,1:00,1:20,1:30,1:40,2:00,2:20,2:30,2:40,3:00,3:20,3:30,3:40,4:00,4:20,4:30,4:40,5:00,5:20,5:30,5:40"</formula1>
    </dataValidation>
  </dataValidations>
  <drawing r:id="rId1"/>
  <tableParts count="28">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2.63" defaultRowHeight="15.75"/>
  <cols>
    <col customWidth="1" min="1" max="1" width="9.63"/>
    <col customWidth="1" min="3" max="3" width="15.63"/>
    <col customWidth="1" min="4" max="4" width="17.38"/>
    <col customWidth="1" min="5" max="5" width="16.13"/>
    <col customWidth="1" min="6" max="7" width="19.38"/>
    <col customWidth="1" min="8" max="8" width="2.0"/>
    <col customWidth="1" min="9" max="9" width="16.38"/>
    <col customWidth="1" min="10" max="11" width="21.38"/>
    <col customWidth="1" min="12" max="12" width="2.0"/>
    <col customWidth="1" min="13" max="15" width="21.38"/>
    <col customWidth="1" min="16" max="16" width="2.0"/>
    <col customWidth="1" min="17" max="19" width="21.38"/>
    <col customWidth="1" min="20" max="20" width="2.0"/>
    <col customWidth="1" min="21" max="23" width="21.38"/>
    <col customWidth="1" min="24" max="24" width="2.0"/>
    <col customWidth="1" min="25" max="27" width="21.38"/>
    <col customWidth="1" min="28" max="28" width="2.0"/>
    <col customWidth="1" min="29" max="31" width="21.38"/>
    <col customWidth="1" min="32" max="32" width="2.0"/>
    <col customWidth="1" min="33" max="35" width="21.38"/>
    <col customWidth="1" min="36" max="36" width="2.0"/>
    <col customWidth="1" min="37" max="39" width="21.38"/>
    <col customWidth="1" min="40" max="40" width="2.0"/>
    <col customWidth="1" min="41" max="43" width="21.38"/>
    <col customWidth="1" min="44" max="44" width="2.0"/>
    <col customWidth="1" min="45" max="47" width="21.38"/>
    <col customWidth="1" min="48" max="48" width="2.0"/>
    <col customWidth="1" min="49" max="51" width="21.38"/>
    <col customWidth="1" min="52" max="52" width="2.0"/>
    <col customWidth="1" min="53" max="55" width="21.38"/>
    <col customWidth="1" min="56" max="56" width="2.0"/>
    <col customWidth="1" min="57" max="59" width="21.38"/>
    <col customWidth="1" min="60" max="60" width="2.0"/>
    <col customWidth="1" min="61" max="63" width="21.38"/>
    <col customWidth="1" min="64" max="64" width="2.0"/>
    <col customWidth="1" min="65" max="67" width="21.38"/>
    <col customWidth="1" min="68" max="68" width="2.0"/>
    <col customWidth="1" min="69" max="71" width="21.38"/>
    <col customWidth="1" min="72" max="72" width="2.0"/>
    <col customWidth="1" min="73" max="75" width="21.38"/>
    <col customWidth="1" min="76" max="76" width="2.0"/>
    <col customWidth="1" min="77" max="79" width="21.38"/>
    <col customWidth="1" min="80" max="80" width="2.0"/>
    <col customWidth="1" min="81" max="83" width="21.38"/>
    <col customWidth="1" min="84" max="84" width="2.0"/>
    <col customWidth="1" min="85" max="87" width="21.38"/>
  </cols>
  <sheetData>
    <row r="1">
      <c r="A1" s="130" t="s">
        <v>139</v>
      </c>
      <c r="B1" s="131" t="s">
        <v>140</v>
      </c>
      <c r="C1" s="45"/>
      <c r="D1" s="132" t="s">
        <v>141</v>
      </c>
      <c r="E1" s="133" t="s">
        <v>142</v>
      </c>
      <c r="F1" s="134" t="s">
        <v>143</v>
      </c>
      <c r="G1" s="45"/>
      <c r="H1" s="135"/>
      <c r="I1" s="133" t="s">
        <v>142</v>
      </c>
      <c r="J1" s="134" t="s">
        <v>144</v>
      </c>
      <c r="K1" s="45"/>
      <c r="L1" s="135"/>
      <c r="M1" s="133" t="s">
        <v>142</v>
      </c>
      <c r="N1" s="136" t="s">
        <v>145</v>
      </c>
      <c r="O1" s="45"/>
      <c r="P1" s="137"/>
      <c r="Q1" s="133" t="s">
        <v>142</v>
      </c>
      <c r="R1" s="136" t="s">
        <v>146</v>
      </c>
      <c r="S1" s="45"/>
      <c r="T1" s="137"/>
      <c r="U1" s="133" t="s">
        <v>142</v>
      </c>
      <c r="V1" s="136" t="s">
        <v>147</v>
      </c>
      <c r="W1" s="45"/>
      <c r="X1" s="137"/>
      <c r="Y1" s="133" t="s">
        <v>142</v>
      </c>
      <c r="Z1" s="136" t="s">
        <v>148</v>
      </c>
      <c r="AA1" s="45"/>
      <c r="AB1" s="137"/>
      <c r="AC1" s="133" t="s">
        <v>142</v>
      </c>
      <c r="AD1" s="136" t="s">
        <v>149</v>
      </c>
      <c r="AE1" s="45"/>
      <c r="AF1" s="137"/>
      <c r="AG1" s="133" t="s">
        <v>142</v>
      </c>
      <c r="AH1" s="136" t="s">
        <v>150</v>
      </c>
      <c r="AI1" s="45"/>
      <c r="AJ1" s="137"/>
      <c r="AK1" s="133" t="s">
        <v>142</v>
      </c>
      <c r="AL1" s="136" t="s">
        <v>151</v>
      </c>
      <c r="AM1" s="45"/>
      <c r="AN1" s="137"/>
      <c r="AO1" s="133" t="s">
        <v>142</v>
      </c>
      <c r="AP1" s="136" t="s">
        <v>152</v>
      </c>
      <c r="AQ1" s="45"/>
      <c r="AR1" s="137"/>
      <c r="AS1" s="133" t="s">
        <v>142</v>
      </c>
      <c r="AT1" s="136" t="s">
        <v>153</v>
      </c>
      <c r="AU1" s="45"/>
      <c r="AV1" s="137"/>
      <c r="AW1" s="133" t="s">
        <v>142</v>
      </c>
      <c r="AX1" s="136" t="s">
        <v>154</v>
      </c>
      <c r="AY1" s="45"/>
      <c r="AZ1" s="137"/>
      <c r="BA1" s="133" t="s">
        <v>142</v>
      </c>
      <c r="BB1" s="136" t="s">
        <v>155</v>
      </c>
      <c r="BC1" s="45"/>
      <c r="BD1" s="137"/>
      <c r="BE1" s="133" t="s">
        <v>142</v>
      </c>
      <c r="BF1" s="136" t="s">
        <v>156</v>
      </c>
      <c r="BG1" s="45"/>
      <c r="BH1" s="137"/>
      <c r="BI1" s="133" t="s">
        <v>142</v>
      </c>
      <c r="BJ1" s="136" t="s">
        <v>157</v>
      </c>
      <c r="BK1" s="45"/>
      <c r="BL1" s="137"/>
      <c r="BM1" s="133" t="s">
        <v>142</v>
      </c>
      <c r="BN1" s="136" t="s">
        <v>158</v>
      </c>
      <c r="BO1" s="45"/>
      <c r="BP1" s="137"/>
      <c r="BQ1" s="133" t="s">
        <v>142</v>
      </c>
      <c r="BR1" s="136" t="s">
        <v>159</v>
      </c>
      <c r="BS1" s="45"/>
      <c r="BT1" s="137"/>
      <c r="BU1" s="133" t="s">
        <v>142</v>
      </c>
      <c r="BV1" s="136" t="s">
        <v>160</v>
      </c>
      <c r="BW1" s="45"/>
      <c r="BX1" s="137"/>
      <c r="BY1" s="133" t="s">
        <v>142</v>
      </c>
      <c r="BZ1" s="136" t="s">
        <v>161</v>
      </c>
      <c r="CA1" s="45"/>
      <c r="CB1" s="137"/>
      <c r="CC1" s="133" t="s">
        <v>142</v>
      </c>
      <c r="CD1" s="136" t="s">
        <v>162</v>
      </c>
      <c r="CE1" s="45"/>
      <c r="CF1" s="137"/>
      <c r="CG1" s="133" t="s">
        <v>142</v>
      </c>
      <c r="CH1" s="136" t="s">
        <v>163</v>
      </c>
      <c r="CI1" s="45"/>
    </row>
    <row r="2">
      <c r="A2" s="138"/>
      <c r="B2" s="138"/>
      <c r="C2" s="52"/>
      <c r="D2" s="138"/>
      <c r="E2" s="139"/>
      <c r="F2" s="140"/>
      <c r="G2" s="57"/>
      <c r="I2" s="139"/>
      <c r="J2" s="140"/>
      <c r="K2" s="57"/>
      <c r="M2" s="139"/>
      <c r="N2" s="140"/>
      <c r="O2" s="57"/>
      <c r="Q2" s="139"/>
      <c r="R2" s="140"/>
      <c r="S2" s="57"/>
      <c r="U2" s="139"/>
      <c r="V2" s="140"/>
      <c r="W2" s="57"/>
      <c r="Y2" s="139"/>
      <c r="Z2" s="140"/>
      <c r="AA2" s="57"/>
      <c r="AC2" s="139"/>
      <c r="AD2" s="140"/>
      <c r="AE2" s="57"/>
      <c r="AG2" s="139"/>
      <c r="AH2" s="140"/>
      <c r="AI2" s="57"/>
      <c r="AK2" s="139"/>
      <c r="AL2" s="140"/>
      <c r="AM2" s="57"/>
      <c r="AO2" s="139"/>
      <c r="AP2" s="140"/>
      <c r="AQ2" s="57"/>
      <c r="AS2" s="139"/>
      <c r="AT2" s="140"/>
      <c r="AU2" s="57"/>
      <c r="AW2" s="139"/>
      <c r="AX2" s="140"/>
      <c r="AY2" s="57"/>
      <c r="BA2" s="139"/>
      <c r="BB2" s="140"/>
      <c r="BC2" s="57"/>
      <c r="BE2" s="139"/>
      <c r="BF2" s="140"/>
      <c r="BG2" s="57"/>
      <c r="BI2" s="139"/>
      <c r="BJ2" s="140"/>
      <c r="BK2" s="57"/>
      <c r="BM2" s="139"/>
      <c r="BN2" s="140"/>
      <c r="BO2" s="57"/>
      <c r="BQ2" s="139"/>
      <c r="BR2" s="140"/>
      <c r="BS2" s="57"/>
      <c r="BU2" s="139"/>
      <c r="BV2" s="140"/>
      <c r="BW2" s="57"/>
      <c r="BY2" s="139"/>
      <c r="BZ2" s="140"/>
      <c r="CA2" s="57"/>
      <c r="CC2" s="139"/>
      <c r="CD2" s="140"/>
      <c r="CE2" s="57"/>
      <c r="CG2" s="139"/>
      <c r="CH2" s="140"/>
      <c r="CI2" s="57"/>
    </row>
    <row r="3">
      <c r="A3" s="138"/>
      <c r="B3" s="138"/>
      <c r="C3" s="52"/>
      <c r="D3" s="138"/>
      <c r="E3" s="141">
        <v>46023.0</v>
      </c>
      <c r="F3" s="133" t="s">
        <v>164</v>
      </c>
      <c r="G3" s="133" t="s">
        <v>165</v>
      </c>
      <c r="I3" s="141">
        <v>46023.0</v>
      </c>
      <c r="J3" s="133" t="s">
        <v>164</v>
      </c>
      <c r="K3" s="133" t="s">
        <v>165</v>
      </c>
      <c r="M3" s="141">
        <v>46023.0</v>
      </c>
      <c r="N3" s="133" t="s">
        <v>164</v>
      </c>
      <c r="O3" s="133" t="s">
        <v>165</v>
      </c>
      <c r="Q3" s="141">
        <v>46023.0</v>
      </c>
      <c r="R3" s="133" t="s">
        <v>164</v>
      </c>
      <c r="S3" s="133" t="s">
        <v>165</v>
      </c>
      <c r="U3" s="141">
        <v>46023.0</v>
      </c>
      <c r="V3" s="133" t="s">
        <v>164</v>
      </c>
      <c r="W3" s="133" t="s">
        <v>165</v>
      </c>
      <c r="Y3" s="141">
        <v>46023.0</v>
      </c>
      <c r="Z3" s="133" t="s">
        <v>164</v>
      </c>
      <c r="AA3" s="133" t="s">
        <v>165</v>
      </c>
      <c r="AC3" s="141">
        <v>46023.0</v>
      </c>
      <c r="AD3" s="133" t="s">
        <v>164</v>
      </c>
      <c r="AE3" s="133" t="s">
        <v>165</v>
      </c>
      <c r="AG3" s="141">
        <v>46023.0</v>
      </c>
      <c r="AH3" s="133" t="s">
        <v>164</v>
      </c>
      <c r="AI3" s="133" t="s">
        <v>165</v>
      </c>
      <c r="AK3" s="141">
        <v>46023.0</v>
      </c>
      <c r="AL3" s="133" t="s">
        <v>164</v>
      </c>
      <c r="AM3" s="133" t="s">
        <v>165</v>
      </c>
      <c r="AO3" s="141">
        <v>46023.0</v>
      </c>
      <c r="AP3" s="133" t="s">
        <v>164</v>
      </c>
      <c r="AQ3" s="133" t="s">
        <v>165</v>
      </c>
      <c r="AS3" s="141">
        <v>46023.0</v>
      </c>
      <c r="AT3" s="133" t="s">
        <v>164</v>
      </c>
      <c r="AU3" s="133" t="s">
        <v>165</v>
      </c>
      <c r="AW3" s="141">
        <v>46023.0</v>
      </c>
      <c r="AX3" s="133" t="s">
        <v>164</v>
      </c>
      <c r="AY3" s="133" t="s">
        <v>165</v>
      </c>
      <c r="BA3" s="141">
        <v>46023.0</v>
      </c>
      <c r="BB3" s="133" t="s">
        <v>164</v>
      </c>
      <c r="BC3" s="133" t="s">
        <v>165</v>
      </c>
      <c r="BE3" s="141">
        <v>46023.0</v>
      </c>
      <c r="BF3" s="133" t="s">
        <v>164</v>
      </c>
      <c r="BG3" s="133" t="s">
        <v>165</v>
      </c>
      <c r="BI3" s="141">
        <v>46023.0</v>
      </c>
      <c r="BJ3" s="133" t="s">
        <v>164</v>
      </c>
      <c r="BK3" s="133" t="s">
        <v>165</v>
      </c>
      <c r="BM3" s="141">
        <v>46023.0</v>
      </c>
      <c r="BN3" s="133" t="s">
        <v>164</v>
      </c>
      <c r="BO3" s="133" t="s">
        <v>165</v>
      </c>
      <c r="BQ3" s="141">
        <v>46023.0</v>
      </c>
      <c r="BR3" s="133" t="s">
        <v>164</v>
      </c>
      <c r="BS3" s="133" t="s">
        <v>165</v>
      </c>
      <c r="BU3" s="141">
        <v>46023.0</v>
      </c>
      <c r="BV3" s="133" t="s">
        <v>164</v>
      </c>
      <c r="BW3" s="133" t="s">
        <v>165</v>
      </c>
      <c r="BY3" s="141">
        <v>46023.0</v>
      </c>
      <c r="BZ3" s="133" t="s">
        <v>164</v>
      </c>
      <c r="CA3" s="133" t="s">
        <v>165</v>
      </c>
      <c r="CC3" s="141">
        <v>46023.0</v>
      </c>
      <c r="CD3" s="133" t="s">
        <v>164</v>
      </c>
      <c r="CE3" s="133" t="s">
        <v>165</v>
      </c>
      <c r="CG3" s="141">
        <v>46023.0</v>
      </c>
      <c r="CH3" s="133" t="s">
        <v>164</v>
      </c>
      <c r="CI3" s="133" t="s">
        <v>165</v>
      </c>
    </row>
    <row r="4">
      <c r="A4" s="140"/>
      <c r="B4" s="140"/>
      <c r="C4" s="57"/>
      <c r="D4" s="140"/>
      <c r="E4" s="139"/>
      <c r="F4" s="139"/>
      <c r="G4" s="139"/>
      <c r="I4" s="139"/>
      <c r="J4" s="139"/>
      <c r="K4" s="139"/>
      <c r="M4" s="139"/>
      <c r="N4" s="139"/>
      <c r="O4" s="139"/>
      <c r="Q4" s="139"/>
      <c r="R4" s="139"/>
      <c r="S4" s="139"/>
      <c r="U4" s="139"/>
      <c r="V4" s="139"/>
      <c r="W4" s="139"/>
      <c r="Y4" s="139"/>
      <c r="Z4" s="139"/>
      <c r="AA4" s="139"/>
      <c r="AC4" s="139"/>
      <c r="AD4" s="139"/>
      <c r="AE4" s="139"/>
      <c r="AG4" s="139"/>
      <c r="AH4" s="139"/>
      <c r="AI4" s="139"/>
      <c r="AK4" s="139"/>
      <c r="AL4" s="139"/>
      <c r="AM4" s="139"/>
      <c r="AO4" s="139"/>
      <c r="AP4" s="139"/>
      <c r="AQ4" s="139"/>
      <c r="AS4" s="139"/>
      <c r="AT4" s="139"/>
      <c r="AU4" s="139"/>
      <c r="AW4" s="139"/>
      <c r="AX4" s="139"/>
      <c r="AY4" s="139"/>
      <c r="BA4" s="139"/>
      <c r="BB4" s="139"/>
      <c r="BC4" s="139"/>
      <c r="BE4" s="139"/>
      <c r="BF4" s="139"/>
      <c r="BG4" s="139"/>
      <c r="BI4" s="139"/>
      <c r="BJ4" s="139"/>
      <c r="BK4" s="139"/>
      <c r="BM4" s="139"/>
      <c r="BN4" s="139"/>
      <c r="BO4" s="139"/>
      <c r="BQ4" s="139"/>
      <c r="BR4" s="139"/>
      <c r="BS4" s="139"/>
      <c r="BU4" s="139"/>
      <c r="BV4" s="139"/>
      <c r="BW4" s="139"/>
      <c r="BY4" s="139"/>
      <c r="BZ4" s="139"/>
      <c r="CA4" s="139"/>
      <c r="CC4" s="139"/>
      <c r="CD4" s="139"/>
      <c r="CE4" s="139"/>
      <c r="CG4" s="139"/>
      <c r="CH4" s="139"/>
      <c r="CI4" s="139"/>
    </row>
    <row r="5" ht="18.75" customHeight="1">
      <c r="A5" s="142" t="b">
        <v>0</v>
      </c>
      <c r="B5" s="143" t="s">
        <v>166</v>
      </c>
      <c r="C5" s="45"/>
      <c r="D5" s="144" t="s">
        <v>38</v>
      </c>
      <c r="E5" s="145" t="s">
        <v>167</v>
      </c>
      <c r="F5" s="146"/>
      <c r="G5" s="146"/>
      <c r="I5" s="145" t="s">
        <v>167</v>
      </c>
      <c r="J5" s="146"/>
      <c r="K5" s="146"/>
      <c r="M5" s="145" t="s">
        <v>167</v>
      </c>
      <c r="N5" s="146"/>
      <c r="O5" s="146"/>
      <c r="Q5" s="145" t="s">
        <v>167</v>
      </c>
      <c r="R5" s="146"/>
      <c r="S5" s="146"/>
      <c r="U5" s="145" t="s">
        <v>167</v>
      </c>
      <c r="V5" s="146"/>
      <c r="W5" s="146"/>
      <c r="Y5" s="145" t="s">
        <v>167</v>
      </c>
      <c r="Z5" s="146"/>
      <c r="AA5" s="146"/>
      <c r="AC5" s="145" t="s">
        <v>167</v>
      </c>
      <c r="AD5" s="146"/>
      <c r="AE5" s="146"/>
      <c r="AG5" s="145" t="s">
        <v>167</v>
      </c>
      <c r="AH5" s="146"/>
      <c r="AI5" s="146"/>
      <c r="AK5" s="145" t="s">
        <v>167</v>
      </c>
      <c r="AL5" s="146"/>
      <c r="AM5" s="146"/>
      <c r="AO5" s="145" t="s">
        <v>167</v>
      </c>
      <c r="AP5" s="146"/>
      <c r="AQ5" s="146"/>
      <c r="AS5" s="145" t="s">
        <v>167</v>
      </c>
      <c r="AT5" s="146"/>
      <c r="AU5" s="146"/>
      <c r="AW5" s="145" t="s">
        <v>167</v>
      </c>
      <c r="AX5" s="146"/>
      <c r="AY5" s="146"/>
      <c r="BA5" s="145" t="s">
        <v>167</v>
      </c>
      <c r="BB5" s="146"/>
      <c r="BC5" s="146"/>
      <c r="BE5" s="145" t="s">
        <v>167</v>
      </c>
      <c r="BF5" s="146"/>
      <c r="BG5" s="146"/>
      <c r="BI5" s="145" t="s">
        <v>167</v>
      </c>
      <c r="BJ5" s="146"/>
      <c r="BK5" s="146"/>
      <c r="BM5" s="145" t="s">
        <v>167</v>
      </c>
      <c r="BN5" s="146"/>
      <c r="BO5" s="146"/>
      <c r="BQ5" s="145" t="s">
        <v>167</v>
      </c>
      <c r="BR5" s="146"/>
      <c r="BS5" s="146"/>
      <c r="BU5" s="145" t="s">
        <v>167</v>
      </c>
      <c r="BV5" s="146"/>
      <c r="BW5" s="146"/>
      <c r="BY5" s="145" t="s">
        <v>167</v>
      </c>
      <c r="BZ5" s="146"/>
      <c r="CA5" s="146"/>
      <c r="CC5" s="145" t="s">
        <v>167</v>
      </c>
      <c r="CD5" s="146"/>
      <c r="CE5" s="146"/>
      <c r="CG5" s="145" t="s">
        <v>167</v>
      </c>
      <c r="CH5" s="146"/>
      <c r="CI5" s="146"/>
    </row>
    <row r="6">
      <c r="A6" s="147"/>
      <c r="B6" s="138"/>
      <c r="C6" s="52"/>
      <c r="D6" s="138"/>
      <c r="E6" s="139"/>
      <c r="F6" s="139"/>
      <c r="G6" s="139"/>
      <c r="I6" s="139"/>
      <c r="J6" s="139"/>
      <c r="K6" s="139"/>
      <c r="M6" s="139"/>
      <c r="N6" s="139"/>
      <c r="O6" s="139"/>
      <c r="Q6" s="139"/>
      <c r="R6" s="139"/>
      <c r="S6" s="139"/>
      <c r="U6" s="139"/>
      <c r="V6" s="139"/>
      <c r="W6" s="139"/>
      <c r="Y6" s="139"/>
      <c r="Z6" s="139"/>
      <c r="AA6" s="139"/>
      <c r="AC6" s="139"/>
      <c r="AD6" s="139"/>
      <c r="AE6" s="139"/>
      <c r="AG6" s="139"/>
      <c r="AH6" s="139"/>
      <c r="AI6" s="139"/>
      <c r="AK6" s="139"/>
      <c r="AL6" s="139"/>
      <c r="AM6" s="139"/>
      <c r="AO6" s="139"/>
      <c r="AP6" s="139"/>
      <c r="AQ6" s="139"/>
      <c r="AS6" s="139"/>
      <c r="AT6" s="139"/>
      <c r="AU6" s="139"/>
      <c r="AW6" s="139"/>
      <c r="AX6" s="139"/>
      <c r="AY6" s="139"/>
      <c r="BA6" s="139"/>
      <c r="BB6" s="139"/>
      <c r="BC6" s="139"/>
      <c r="BE6" s="139"/>
      <c r="BF6" s="139"/>
      <c r="BG6" s="139"/>
      <c r="BI6" s="139"/>
      <c r="BJ6" s="139"/>
      <c r="BK6" s="139"/>
      <c r="BM6" s="139"/>
      <c r="BN6" s="139"/>
      <c r="BO6" s="139"/>
      <c r="BQ6" s="139"/>
      <c r="BR6" s="139"/>
      <c r="BS6" s="139"/>
      <c r="BU6" s="139"/>
      <c r="BV6" s="139"/>
      <c r="BW6" s="139"/>
      <c r="BY6" s="139"/>
      <c r="BZ6" s="139"/>
      <c r="CA6" s="139"/>
      <c r="CC6" s="139"/>
      <c r="CD6" s="139"/>
      <c r="CE6" s="139"/>
      <c r="CG6" s="139"/>
      <c r="CH6" s="139"/>
      <c r="CI6" s="139"/>
    </row>
    <row r="7" ht="15.0" customHeight="1">
      <c r="A7" s="147"/>
      <c r="B7" s="138"/>
      <c r="C7" s="52"/>
      <c r="D7" s="138"/>
      <c r="E7" s="148"/>
      <c r="F7" s="149"/>
      <c r="G7" s="45"/>
      <c r="I7" s="148"/>
      <c r="J7" s="149"/>
      <c r="K7" s="45"/>
      <c r="M7" s="148"/>
      <c r="N7" s="149"/>
      <c r="O7" s="45"/>
      <c r="Q7" s="148"/>
      <c r="R7" s="149"/>
      <c r="S7" s="45"/>
      <c r="U7" s="148"/>
      <c r="V7" s="149"/>
      <c r="W7" s="45"/>
      <c r="Y7" s="148"/>
      <c r="Z7" s="149"/>
      <c r="AA7" s="45"/>
      <c r="AC7" s="148"/>
      <c r="AD7" s="149"/>
      <c r="AE7" s="45"/>
      <c r="AG7" s="148"/>
      <c r="AH7" s="149"/>
      <c r="AI7" s="45"/>
      <c r="AK7" s="148"/>
      <c r="AL7" s="149"/>
      <c r="AM7" s="45"/>
      <c r="AO7" s="148"/>
      <c r="AP7" s="149"/>
      <c r="AQ7" s="45"/>
      <c r="AS7" s="148"/>
      <c r="AT7" s="149"/>
      <c r="AU7" s="45"/>
      <c r="AW7" s="148"/>
      <c r="AX7" s="149"/>
      <c r="AY7" s="45"/>
      <c r="BA7" s="148"/>
      <c r="BB7" s="149"/>
      <c r="BC7" s="45"/>
      <c r="BE7" s="148"/>
      <c r="BF7" s="149"/>
      <c r="BG7" s="45"/>
      <c r="BI7" s="148"/>
      <c r="BJ7" s="149"/>
      <c r="BK7" s="45"/>
      <c r="BM7" s="148"/>
      <c r="BN7" s="149"/>
      <c r="BO7" s="45"/>
      <c r="BQ7" s="148"/>
      <c r="BR7" s="149"/>
      <c r="BS7" s="45"/>
      <c r="BU7" s="148"/>
      <c r="BV7" s="149"/>
      <c r="BW7" s="45"/>
      <c r="BY7" s="148"/>
      <c r="BZ7" s="149"/>
      <c r="CA7" s="45"/>
      <c r="CC7" s="148"/>
      <c r="CD7" s="149"/>
      <c r="CE7" s="45"/>
      <c r="CG7" s="148"/>
      <c r="CH7" s="149"/>
      <c r="CI7" s="45"/>
    </row>
    <row r="8" ht="15.0" customHeight="1">
      <c r="A8" s="147"/>
      <c r="B8" s="140"/>
      <c r="C8" s="57"/>
      <c r="D8" s="140"/>
      <c r="E8" s="138"/>
      <c r="G8" s="52"/>
      <c r="I8" s="138"/>
      <c r="K8" s="52"/>
      <c r="M8" s="138"/>
      <c r="O8" s="52"/>
      <c r="Q8" s="138"/>
      <c r="S8" s="52"/>
      <c r="U8" s="138"/>
      <c r="W8" s="52"/>
      <c r="Y8" s="138"/>
      <c r="AA8" s="52"/>
      <c r="AC8" s="138"/>
      <c r="AE8" s="52"/>
      <c r="AG8" s="138"/>
      <c r="AI8" s="52"/>
      <c r="AK8" s="138"/>
      <c r="AM8" s="52"/>
      <c r="AO8" s="138"/>
      <c r="AQ8" s="52"/>
      <c r="AS8" s="138"/>
      <c r="AU8" s="52"/>
      <c r="AW8" s="138"/>
      <c r="AY8" s="52"/>
      <c r="BA8" s="138"/>
      <c r="BC8" s="52"/>
      <c r="BE8" s="138"/>
      <c r="BG8" s="52"/>
      <c r="BI8" s="138"/>
      <c r="BK8" s="52"/>
      <c r="BM8" s="138"/>
      <c r="BO8" s="52"/>
      <c r="BQ8" s="138"/>
      <c r="BS8" s="52"/>
      <c r="BU8" s="138"/>
      <c r="BW8" s="52"/>
      <c r="BY8" s="138"/>
      <c r="CA8" s="52"/>
      <c r="CC8" s="138"/>
      <c r="CE8" s="52"/>
      <c r="CG8" s="138"/>
      <c r="CI8" s="52"/>
    </row>
    <row r="9" ht="22.5" customHeight="1">
      <c r="A9" s="147"/>
      <c r="B9" s="150" t="s">
        <v>168</v>
      </c>
      <c r="C9" s="151" t="s">
        <v>165</v>
      </c>
      <c r="D9" s="152" t="s">
        <v>164</v>
      </c>
      <c r="E9" s="140"/>
      <c r="F9" s="56"/>
      <c r="G9" s="57"/>
      <c r="I9" s="140"/>
      <c r="J9" s="56"/>
      <c r="K9" s="57"/>
      <c r="M9" s="140"/>
      <c r="N9" s="56"/>
      <c r="O9" s="57"/>
      <c r="Q9" s="140"/>
      <c r="R9" s="56"/>
      <c r="S9" s="57"/>
      <c r="U9" s="140"/>
      <c r="V9" s="56"/>
      <c r="W9" s="57"/>
      <c r="Y9" s="140"/>
      <c r="Z9" s="56"/>
      <c r="AA9" s="57"/>
      <c r="AC9" s="140"/>
      <c r="AD9" s="56"/>
      <c r="AE9" s="57"/>
      <c r="AG9" s="140"/>
      <c r="AH9" s="56"/>
      <c r="AI9" s="57"/>
      <c r="AK9" s="140"/>
      <c r="AL9" s="56"/>
      <c r="AM9" s="57"/>
      <c r="AO9" s="140"/>
      <c r="AP9" s="56"/>
      <c r="AQ9" s="57"/>
      <c r="AS9" s="140"/>
      <c r="AT9" s="56"/>
      <c r="AU9" s="57"/>
      <c r="AW9" s="140"/>
      <c r="AX9" s="56"/>
      <c r="AY9" s="57"/>
      <c r="BA9" s="140"/>
      <c r="BB9" s="56"/>
      <c r="BC9" s="57"/>
      <c r="BE9" s="140"/>
      <c r="BF9" s="56"/>
      <c r="BG9" s="57"/>
      <c r="BI9" s="140"/>
      <c r="BJ9" s="56"/>
      <c r="BK9" s="57"/>
      <c r="BM9" s="140"/>
      <c r="BN9" s="56"/>
      <c r="BO9" s="57"/>
      <c r="BQ9" s="140"/>
      <c r="BR9" s="56"/>
      <c r="BS9" s="57"/>
      <c r="BU9" s="140"/>
      <c r="BV9" s="56"/>
      <c r="BW9" s="57"/>
      <c r="BY9" s="140"/>
      <c r="BZ9" s="56"/>
      <c r="CA9" s="57"/>
      <c r="CC9" s="140"/>
      <c r="CD9" s="56"/>
      <c r="CE9" s="57"/>
      <c r="CG9" s="140"/>
      <c r="CH9" s="56"/>
      <c r="CI9" s="57"/>
    </row>
    <row r="10" ht="27.0" customHeight="1">
      <c r="A10" s="139"/>
      <c r="B10" s="153">
        <v>3.0</v>
      </c>
      <c r="C10" s="154" t="s">
        <v>169</v>
      </c>
      <c r="D10" s="155" t="s">
        <v>170</v>
      </c>
      <c r="E10" s="156" t="s">
        <v>171</v>
      </c>
      <c r="F10" s="38"/>
      <c r="G10" s="157"/>
      <c r="I10" s="156" t="s">
        <v>171</v>
      </c>
      <c r="J10" s="38"/>
      <c r="K10" s="157"/>
      <c r="M10" s="156" t="s">
        <v>171</v>
      </c>
      <c r="N10" s="38"/>
      <c r="O10" s="157"/>
      <c r="Q10" s="156" t="s">
        <v>171</v>
      </c>
      <c r="R10" s="38"/>
      <c r="S10" s="157"/>
      <c r="U10" s="156" t="s">
        <v>171</v>
      </c>
      <c r="V10" s="38"/>
      <c r="W10" s="157"/>
      <c r="Y10" s="156" t="s">
        <v>171</v>
      </c>
      <c r="Z10" s="38"/>
      <c r="AA10" s="157"/>
      <c r="AC10" s="156" t="s">
        <v>171</v>
      </c>
      <c r="AD10" s="38"/>
      <c r="AE10" s="157"/>
      <c r="AG10" s="156" t="s">
        <v>171</v>
      </c>
      <c r="AH10" s="38"/>
      <c r="AI10" s="157"/>
      <c r="AK10" s="156" t="s">
        <v>171</v>
      </c>
      <c r="AL10" s="38"/>
      <c r="AM10" s="157"/>
      <c r="AO10" s="156" t="s">
        <v>171</v>
      </c>
      <c r="AP10" s="38"/>
      <c r="AQ10" s="157"/>
      <c r="AS10" s="156" t="s">
        <v>171</v>
      </c>
      <c r="AT10" s="38"/>
      <c r="AU10" s="157"/>
      <c r="AW10" s="156" t="s">
        <v>171</v>
      </c>
      <c r="AX10" s="38"/>
      <c r="AY10" s="157"/>
      <c r="BA10" s="156" t="s">
        <v>171</v>
      </c>
      <c r="BB10" s="38"/>
      <c r="BC10" s="157"/>
      <c r="BE10" s="156" t="s">
        <v>171</v>
      </c>
      <c r="BF10" s="38"/>
      <c r="BG10" s="157"/>
      <c r="BI10" s="156" t="s">
        <v>171</v>
      </c>
      <c r="BJ10" s="38"/>
      <c r="BK10" s="157"/>
      <c r="BM10" s="156" t="s">
        <v>171</v>
      </c>
      <c r="BN10" s="38"/>
      <c r="BO10" s="157"/>
      <c r="BQ10" s="156" t="s">
        <v>171</v>
      </c>
      <c r="BR10" s="38"/>
      <c r="BS10" s="157"/>
      <c r="BU10" s="156" t="s">
        <v>171</v>
      </c>
      <c r="BV10" s="38"/>
      <c r="BW10" s="157"/>
      <c r="BY10" s="156" t="s">
        <v>171</v>
      </c>
      <c r="BZ10" s="38"/>
      <c r="CA10" s="157"/>
      <c r="CC10" s="156" t="s">
        <v>171</v>
      </c>
      <c r="CD10" s="38"/>
      <c r="CE10" s="157"/>
      <c r="CG10" s="156" t="s">
        <v>171</v>
      </c>
      <c r="CH10" s="38"/>
      <c r="CI10" s="157"/>
    </row>
    <row r="11" ht="10.5" customHeight="1">
      <c r="A11" s="158"/>
      <c r="B11" s="159"/>
      <c r="C11" s="159"/>
      <c r="D11" s="38"/>
      <c r="E11" s="137"/>
      <c r="I11" s="137"/>
      <c r="M11" s="137"/>
      <c r="Q11" s="137"/>
      <c r="U11" s="137"/>
      <c r="Y11" s="137"/>
      <c r="AC11" s="137"/>
      <c r="AG11" s="137"/>
      <c r="AK11" s="137"/>
      <c r="AO11" s="137"/>
      <c r="AS11" s="137"/>
      <c r="AW11" s="137"/>
      <c r="BA11" s="137"/>
      <c r="BE11" s="137"/>
      <c r="BI11" s="137"/>
      <c r="BM11" s="137"/>
      <c r="BQ11" s="137"/>
      <c r="BU11" s="137"/>
      <c r="BY11" s="137"/>
      <c r="CC11" s="137"/>
      <c r="CG11" s="137"/>
    </row>
    <row r="12">
      <c r="A12" s="142" t="b">
        <v>0</v>
      </c>
      <c r="B12" s="160" t="s">
        <v>172</v>
      </c>
      <c r="C12" s="45"/>
      <c r="D12" s="144" t="s">
        <v>38</v>
      </c>
      <c r="E12" s="145" t="s">
        <v>167</v>
      </c>
      <c r="F12" s="146"/>
      <c r="G12" s="146"/>
      <c r="I12" s="145" t="s">
        <v>167</v>
      </c>
      <c r="J12" s="146"/>
      <c r="K12" s="146"/>
      <c r="M12" s="145" t="s">
        <v>167</v>
      </c>
      <c r="N12" s="146"/>
      <c r="O12" s="146"/>
      <c r="Q12" s="145" t="s">
        <v>167</v>
      </c>
      <c r="R12" s="146"/>
      <c r="S12" s="146"/>
      <c r="U12" s="145" t="s">
        <v>167</v>
      </c>
      <c r="V12" s="146"/>
      <c r="W12" s="146"/>
      <c r="Y12" s="145" t="s">
        <v>167</v>
      </c>
      <c r="Z12" s="146"/>
      <c r="AA12" s="146"/>
      <c r="AC12" s="145" t="s">
        <v>167</v>
      </c>
      <c r="AD12" s="146"/>
      <c r="AE12" s="146"/>
      <c r="AG12" s="145" t="s">
        <v>167</v>
      </c>
      <c r="AH12" s="146"/>
      <c r="AI12" s="146"/>
      <c r="AK12" s="145" t="s">
        <v>167</v>
      </c>
      <c r="AL12" s="146"/>
      <c r="AM12" s="146"/>
      <c r="AO12" s="145" t="s">
        <v>167</v>
      </c>
      <c r="AP12" s="146"/>
      <c r="AQ12" s="146"/>
      <c r="AS12" s="145" t="s">
        <v>167</v>
      </c>
      <c r="AT12" s="146"/>
      <c r="AU12" s="146"/>
      <c r="AW12" s="145" t="s">
        <v>167</v>
      </c>
      <c r="AX12" s="146"/>
      <c r="AY12" s="146"/>
      <c r="BA12" s="145" t="s">
        <v>167</v>
      </c>
      <c r="BB12" s="146"/>
      <c r="BC12" s="146"/>
      <c r="BE12" s="145" t="s">
        <v>167</v>
      </c>
      <c r="BF12" s="146"/>
      <c r="BG12" s="146"/>
      <c r="BI12" s="145" t="s">
        <v>167</v>
      </c>
      <c r="BJ12" s="146"/>
      <c r="BK12" s="146"/>
      <c r="BM12" s="145" t="s">
        <v>167</v>
      </c>
      <c r="BN12" s="146"/>
      <c r="BO12" s="146"/>
      <c r="BQ12" s="145" t="s">
        <v>167</v>
      </c>
      <c r="BR12" s="146"/>
      <c r="BS12" s="146"/>
      <c r="BU12" s="145" t="s">
        <v>167</v>
      </c>
      <c r="BV12" s="146"/>
      <c r="BW12" s="146"/>
      <c r="BY12" s="145" t="s">
        <v>167</v>
      </c>
      <c r="BZ12" s="146"/>
      <c r="CA12" s="146"/>
      <c r="CC12" s="145" t="s">
        <v>167</v>
      </c>
      <c r="CD12" s="146"/>
      <c r="CE12" s="146"/>
      <c r="CG12" s="145" t="s">
        <v>167</v>
      </c>
      <c r="CH12" s="146"/>
      <c r="CI12" s="146"/>
    </row>
    <row r="13">
      <c r="A13" s="147"/>
      <c r="B13" s="138"/>
      <c r="C13" s="52"/>
      <c r="D13" s="138"/>
      <c r="E13" s="139"/>
      <c r="F13" s="139"/>
      <c r="G13" s="139"/>
      <c r="I13" s="139"/>
      <c r="J13" s="139"/>
      <c r="K13" s="139"/>
      <c r="M13" s="139"/>
      <c r="N13" s="139"/>
      <c r="O13" s="139"/>
      <c r="Q13" s="139"/>
      <c r="R13" s="139"/>
      <c r="S13" s="139"/>
      <c r="U13" s="139"/>
      <c r="V13" s="139"/>
      <c r="W13" s="139"/>
      <c r="Y13" s="139"/>
      <c r="Z13" s="139"/>
      <c r="AA13" s="139"/>
      <c r="AC13" s="139"/>
      <c r="AD13" s="139"/>
      <c r="AE13" s="139"/>
      <c r="AG13" s="139"/>
      <c r="AH13" s="139"/>
      <c r="AI13" s="139"/>
      <c r="AK13" s="139"/>
      <c r="AL13" s="139"/>
      <c r="AM13" s="139"/>
      <c r="AO13" s="139"/>
      <c r="AP13" s="139"/>
      <c r="AQ13" s="139"/>
      <c r="AS13" s="139"/>
      <c r="AT13" s="139"/>
      <c r="AU13" s="139"/>
      <c r="AW13" s="139"/>
      <c r="AX13" s="139"/>
      <c r="AY13" s="139"/>
      <c r="BA13" s="139"/>
      <c r="BB13" s="139"/>
      <c r="BC13" s="139"/>
      <c r="BE13" s="139"/>
      <c r="BF13" s="139"/>
      <c r="BG13" s="139"/>
      <c r="BI13" s="139"/>
      <c r="BJ13" s="139"/>
      <c r="BK13" s="139"/>
      <c r="BM13" s="139"/>
      <c r="BN13" s="139"/>
      <c r="BO13" s="139"/>
      <c r="BQ13" s="139"/>
      <c r="BR13" s="139"/>
      <c r="BS13" s="139"/>
      <c r="BU13" s="139"/>
      <c r="BV13" s="139"/>
      <c r="BW13" s="139"/>
      <c r="BY13" s="139"/>
      <c r="BZ13" s="139"/>
      <c r="CA13" s="139"/>
      <c r="CC13" s="139"/>
      <c r="CD13" s="139"/>
      <c r="CE13" s="139"/>
      <c r="CG13" s="139"/>
      <c r="CH13" s="139"/>
      <c r="CI13" s="139"/>
    </row>
    <row r="14" ht="13.5" customHeight="1">
      <c r="A14" s="147"/>
      <c r="B14" s="138"/>
      <c r="C14" s="52"/>
      <c r="D14" s="138"/>
      <c r="E14" s="148"/>
      <c r="F14" s="149"/>
      <c r="G14" s="45"/>
      <c r="I14" s="148"/>
      <c r="J14" s="149"/>
      <c r="K14" s="45"/>
      <c r="M14" s="148"/>
      <c r="N14" s="149"/>
      <c r="O14" s="45"/>
      <c r="Q14" s="148"/>
      <c r="R14" s="149"/>
      <c r="S14" s="45"/>
      <c r="U14" s="148"/>
      <c r="V14" s="149"/>
      <c r="W14" s="45"/>
      <c r="Y14" s="148"/>
      <c r="Z14" s="149"/>
      <c r="AA14" s="45"/>
      <c r="AC14" s="148"/>
      <c r="AD14" s="149"/>
      <c r="AE14" s="45"/>
      <c r="AG14" s="148"/>
      <c r="AH14" s="149"/>
      <c r="AI14" s="45"/>
      <c r="AK14" s="148"/>
      <c r="AL14" s="149"/>
      <c r="AM14" s="45"/>
      <c r="AO14" s="148"/>
      <c r="AP14" s="149"/>
      <c r="AQ14" s="45"/>
      <c r="AS14" s="148"/>
      <c r="AT14" s="149"/>
      <c r="AU14" s="45"/>
      <c r="AW14" s="148"/>
      <c r="AX14" s="149"/>
      <c r="AY14" s="45"/>
      <c r="BA14" s="148"/>
      <c r="BB14" s="149"/>
      <c r="BC14" s="45"/>
      <c r="BE14" s="148"/>
      <c r="BF14" s="149"/>
      <c r="BG14" s="45"/>
      <c r="BI14" s="148"/>
      <c r="BJ14" s="149"/>
      <c r="BK14" s="45"/>
      <c r="BM14" s="148"/>
      <c r="BN14" s="149"/>
      <c r="BO14" s="45"/>
      <c r="BQ14" s="148"/>
      <c r="BR14" s="149"/>
      <c r="BS14" s="45"/>
      <c r="BU14" s="148"/>
      <c r="BV14" s="149"/>
      <c r="BW14" s="45"/>
      <c r="BY14" s="148"/>
      <c r="BZ14" s="149"/>
      <c r="CA14" s="45"/>
      <c r="CC14" s="148"/>
      <c r="CD14" s="149"/>
      <c r="CE14" s="45"/>
      <c r="CG14" s="148"/>
      <c r="CH14" s="149"/>
      <c r="CI14" s="45"/>
    </row>
    <row r="15" ht="13.5" customHeight="1">
      <c r="A15" s="147"/>
      <c r="B15" s="140"/>
      <c r="C15" s="57"/>
      <c r="D15" s="140"/>
      <c r="E15" s="138"/>
      <c r="G15" s="52"/>
      <c r="I15" s="138"/>
      <c r="K15" s="52"/>
      <c r="M15" s="138"/>
      <c r="O15" s="52"/>
      <c r="Q15" s="138"/>
      <c r="S15" s="52"/>
      <c r="U15" s="138"/>
      <c r="W15" s="52"/>
      <c r="Y15" s="138"/>
      <c r="AA15" s="52"/>
      <c r="AC15" s="138"/>
      <c r="AE15" s="52"/>
      <c r="AG15" s="138"/>
      <c r="AI15" s="52"/>
      <c r="AK15" s="138"/>
      <c r="AM15" s="52"/>
      <c r="AO15" s="138"/>
      <c r="AQ15" s="52"/>
      <c r="AS15" s="138"/>
      <c r="AU15" s="52"/>
      <c r="AW15" s="138"/>
      <c r="AY15" s="52"/>
      <c r="BA15" s="138"/>
      <c r="BC15" s="52"/>
      <c r="BE15" s="138"/>
      <c r="BG15" s="52"/>
      <c r="BI15" s="138"/>
      <c r="BK15" s="52"/>
      <c r="BM15" s="138"/>
      <c r="BO15" s="52"/>
      <c r="BQ15" s="138"/>
      <c r="BS15" s="52"/>
      <c r="BU15" s="138"/>
      <c r="BW15" s="52"/>
      <c r="BY15" s="138"/>
      <c r="CA15" s="52"/>
      <c r="CC15" s="138"/>
      <c r="CE15" s="52"/>
      <c r="CG15" s="138"/>
      <c r="CI15" s="52"/>
    </row>
    <row r="16" ht="22.5" customHeight="1">
      <c r="A16" s="147"/>
      <c r="B16" s="150" t="s">
        <v>168</v>
      </c>
      <c r="C16" s="151" t="s">
        <v>165</v>
      </c>
      <c r="D16" s="152" t="s">
        <v>164</v>
      </c>
      <c r="E16" s="140"/>
      <c r="F16" s="56"/>
      <c r="G16" s="57"/>
      <c r="I16" s="140"/>
      <c r="J16" s="56"/>
      <c r="K16" s="57"/>
      <c r="M16" s="140"/>
      <c r="N16" s="56"/>
      <c r="O16" s="57"/>
      <c r="Q16" s="140"/>
      <c r="R16" s="56"/>
      <c r="S16" s="57"/>
      <c r="U16" s="140"/>
      <c r="V16" s="56"/>
      <c r="W16" s="57"/>
      <c r="Y16" s="140"/>
      <c r="Z16" s="56"/>
      <c r="AA16" s="57"/>
      <c r="AC16" s="140"/>
      <c r="AD16" s="56"/>
      <c r="AE16" s="57"/>
      <c r="AG16" s="140"/>
      <c r="AH16" s="56"/>
      <c r="AI16" s="57"/>
      <c r="AK16" s="140"/>
      <c r="AL16" s="56"/>
      <c r="AM16" s="57"/>
      <c r="AO16" s="140"/>
      <c r="AP16" s="56"/>
      <c r="AQ16" s="57"/>
      <c r="AS16" s="140"/>
      <c r="AT16" s="56"/>
      <c r="AU16" s="57"/>
      <c r="AW16" s="140"/>
      <c r="AX16" s="56"/>
      <c r="AY16" s="57"/>
      <c r="BA16" s="140"/>
      <c r="BB16" s="56"/>
      <c r="BC16" s="57"/>
      <c r="BE16" s="140"/>
      <c r="BF16" s="56"/>
      <c r="BG16" s="57"/>
      <c r="BI16" s="140"/>
      <c r="BJ16" s="56"/>
      <c r="BK16" s="57"/>
      <c r="BM16" s="140"/>
      <c r="BN16" s="56"/>
      <c r="BO16" s="57"/>
      <c r="BQ16" s="140"/>
      <c r="BR16" s="56"/>
      <c r="BS16" s="57"/>
      <c r="BU16" s="140"/>
      <c r="BV16" s="56"/>
      <c r="BW16" s="57"/>
      <c r="BY16" s="140"/>
      <c r="BZ16" s="56"/>
      <c r="CA16" s="57"/>
      <c r="CC16" s="140"/>
      <c r="CD16" s="56"/>
      <c r="CE16" s="57"/>
      <c r="CG16" s="140"/>
      <c r="CH16" s="56"/>
      <c r="CI16" s="57"/>
    </row>
    <row r="17" ht="27.0" customHeight="1">
      <c r="A17" s="139"/>
      <c r="B17" s="161">
        <v>3.0</v>
      </c>
      <c r="C17" s="161" t="s">
        <v>173</v>
      </c>
      <c r="D17" s="162" t="s">
        <v>174</v>
      </c>
      <c r="E17" s="156" t="s">
        <v>171</v>
      </c>
      <c r="F17" s="38"/>
      <c r="G17" s="157"/>
      <c r="I17" s="156" t="s">
        <v>171</v>
      </c>
      <c r="J17" s="38"/>
      <c r="K17" s="157"/>
      <c r="M17" s="156" t="s">
        <v>171</v>
      </c>
      <c r="N17" s="38"/>
      <c r="O17" s="157"/>
      <c r="Q17" s="156" t="s">
        <v>171</v>
      </c>
      <c r="R17" s="38"/>
      <c r="S17" s="157"/>
      <c r="U17" s="156" t="s">
        <v>171</v>
      </c>
      <c r="V17" s="38"/>
      <c r="W17" s="157"/>
      <c r="Y17" s="156" t="s">
        <v>171</v>
      </c>
      <c r="Z17" s="38"/>
      <c r="AA17" s="157"/>
      <c r="AC17" s="156" t="s">
        <v>171</v>
      </c>
      <c r="AD17" s="38"/>
      <c r="AE17" s="157"/>
      <c r="AG17" s="156" t="s">
        <v>171</v>
      </c>
      <c r="AH17" s="38"/>
      <c r="AI17" s="157"/>
      <c r="AK17" s="156" t="s">
        <v>171</v>
      </c>
      <c r="AL17" s="38"/>
      <c r="AM17" s="157"/>
      <c r="AO17" s="156" t="s">
        <v>171</v>
      </c>
      <c r="AP17" s="38"/>
      <c r="AQ17" s="157"/>
      <c r="AS17" s="156" t="s">
        <v>171</v>
      </c>
      <c r="AT17" s="38"/>
      <c r="AU17" s="157"/>
      <c r="AW17" s="156" t="s">
        <v>171</v>
      </c>
      <c r="AX17" s="38"/>
      <c r="AY17" s="157"/>
      <c r="BA17" s="156" t="s">
        <v>171</v>
      </c>
      <c r="BB17" s="38"/>
      <c r="BC17" s="157"/>
      <c r="BE17" s="156" t="s">
        <v>171</v>
      </c>
      <c r="BF17" s="38"/>
      <c r="BG17" s="157"/>
      <c r="BI17" s="156" t="s">
        <v>171</v>
      </c>
      <c r="BJ17" s="38"/>
      <c r="BK17" s="157"/>
      <c r="BM17" s="156" t="s">
        <v>171</v>
      </c>
      <c r="BN17" s="38"/>
      <c r="BO17" s="157"/>
      <c r="BQ17" s="156" t="s">
        <v>171</v>
      </c>
      <c r="BR17" s="38"/>
      <c r="BS17" s="157"/>
      <c r="BU17" s="156" t="s">
        <v>171</v>
      </c>
      <c r="BV17" s="38"/>
      <c r="BW17" s="157"/>
      <c r="BY17" s="156" t="s">
        <v>171</v>
      </c>
      <c r="BZ17" s="38"/>
      <c r="CA17" s="157"/>
      <c r="CC17" s="156" t="s">
        <v>171</v>
      </c>
      <c r="CD17" s="38"/>
      <c r="CE17" s="157"/>
      <c r="CG17" s="156" t="s">
        <v>171</v>
      </c>
      <c r="CH17" s="38"/>
      <c r="CI17" s="157"/>
    </row>
    <row r="18" ht="11.25" customHeight="1">
      <c r="A18" s="158"/>
      <c r="B18" s="159"/>
      <c r="C18" s="159"/>
      <c r="D18" s="38"/>
      <c r="E18" s="137"/>
      <c r="I18" s="137"/>
      <c r="M18" s="137"/>
      <c r="Q18" s="137"/>
      <c r="U18" s="137"/>
      <c r="Y18" s="137"/>
      <c r="AC18" s="137"/>
      <c r="AG18" s="137"/>
      <c r="AK18" s="137"/>
      <c r="AO18" s="137"/>
      <c r="AS18" s="137"/>
      <c r="AW18" s="137"/>
      <c r="BA18" s="137"/>
      <c r="BE18" s="137"/>
      <c r="BI18" s="137"/>
      <c r="BM18" s="137"/>
      <c r="BQ18" s="137"/>
      <c r="BU18" s="137"/>
      <c r="BY18" s="137"/>
      <c r="CC18" s="137"/>
      <c r="CG18" s="137"/>
    </row>
    <row r="19">
      <c r="A19" s="142" t="b">
        <v>0</v>
      </c>
      <c r="B19" s="143" t="s">
        <v>175</v>
      </c>
      <c r="C19" s="45"/>
      <c r="D19" s="163" t="s">
        <v>38</v>
      </c>
      <c r="E19" s="145" t="s">
        <v>167</v>
      </c>
      <c r="F19" s="146"/>
      <c r="G19" s="146"/>
      <c r="I19" s="145" t="s">
        <v>167</v>
      </c>
      <c r="J19" s="146"/>
      <c r="K19" s="146"/>
      <c r="M19" s="145" t="s">
        <v>167</v>
      </c>
      <c r="N19" s="146"/>
      <c r="O19" s="146"/>
      <c r="Q19" s="145" t="s">
        <v>167</v>
      </c>
      <c r="R19" s="146"/>
      <c r="S19" s="146"/>
      <c r="U19" s="145" t="s">
        <v>167</v>
      </c>
      <c r="V19" s="146"/>
      <c r="W19" s="146"/>
      <c r="Y19" s="145" t="s">
        <v>167</v>
      </c>
      <c r="Z19" s="146"/>
      <c r="AA19" s="146"/>
      <c r="AC19" s="145" t="s">
        <v>167</v>
      </c>
      <c r="AD19" s="146"/>
      <c r="AE19" s="146"/>
      <c r="AG19" s="145" t="s">
        <v>167</v>
      </c>
      <c r="AH19" s="146"/>
      <c r="AI19" s="146"/>
      <c r="AK19" s="145" t="s">
        <v>167</v>
      </c>
      <c r="AL19" s="146"/>
      <c r="AM19" s="146"/>
      <c r="AO19" s="145" t="s">
        <v>167</v>
      </c>
      <c r="AP19" s="146"/>
      <c r="AQ19" s="146"/>
      <c r="AS19" s="145" t="s">
        <v>167</v>
      </c>
      <c r="AT19" s="146"/>
      <c r="AU19" s="146"/>
      <c r="AW19" s="145" t="s">
        <v>167</v>
      </c>
      <c r="AX19" s="146"/>
      <c r="AY19" s="146"/>
      <c r="BA19" s="145" t="s">
        <v>167</v>
      </c>
      <c r="BB19" s="146"/>
      <c r="BC19" s="146"/>
      <c r="BE19" s="145" t="s">
        <v>167</v>
      </c>
      <c r="BF19" s="146"/>
      <c r="BG19" s="146"/>
      <c r="BI19" s="145" t="s">
        <v>167</v>
      </c>
      <c r="BJ19" s="146"/>
      <c r="BK19" s="146"/>
      <c r="BM19" s="145" t="s">
        <v>167</v>
      </c>
      <c r="BN19" s="146"/>
      <c r="BO19" s="146"/>
      <c r="BQ19" s="145" t="s">
        <v>167</v>
      </c>
      <c r="BR19" s="146"/>
      <c r="BS19" s="146"/>
      <c r="BU19" s="145" t="s">
        <v>167</v>
      </c>
      <c r="BV19" s="146"/>
      <c r="BW19" s="146"/>
      <c r="BY19" s="145" t="s">
        <v>167</v>
      </c>
      <c r="BZ19" s="146"/>
      <c r="CA19" s="146"/>
      <c r="CC19" s="145" t="s">
        <v>167</v>
      </c>
      <c r="CD19" s="146"/>
      <c r="CE19" s="146"/>
      <c r="CG19" s="145" t="s">
        <v>167</v>
      </c>
      <c r="CH19" s="146"/>
      <c r="CI19" s="146"/>
    </row>
    <row r="20">
      <c r="A20" s="147"/>
      <c r="B20" s="138"/>
      <c r="C20" s="52"/>
      <c r="E20" s="139"/>
      <c r="F20" s="139"/>
      <c r="G20" s="139"/>
      <c r="I20" s="139"/>
      <c r="J20" s="139"/>
      <c r="K20" s="139"/>
      <c r="M20" s="139"/>
      <c r="N20" s="139"/>
      <c r="O20" s="139"/>
      <c r="Q20" s="139"/>
      <c r="R20" s="139"/>
      <c r="S20" s="139"/>
      <c r="U20" s="139"/>
      <c r="V20" s="139"/>
      <c r="W20" s="139"/>
      <c r="Y20" s="139"/>
      <c r="Z20" s="139"/>
      <c r="AA20" s="139"/>
      <c r="AC20" s="139"/>
      <c r="AD20" s="139"/>
      <c r="AE20" s="139"/>
      <c r="AG20" s="139"/>
      <c r="AH20" s="139"/>
      <c r="AI20" s="139"/>
      <c r="AK20" s="139"/>
      <c r="AL20" s="139"/>
      <c r="AM20" s="139"/>
      <c r="AO20" s="139"/>
      <c r="AP20" s="139"/>
      <c r="AQ20" s="139"/>
      <c r="AS20" s="139"/>
      <c r="AT20" s="139"/>
      <c r="AU20" s="139"/>
      <c r="AW20" s="139"/>
      <c r="AX20" s="139"/>
      <c r="AY20" s="139"/>
      <c r="BA20" s="139"/>
      <c r="BB20" s="139"/>
      <c r="BC20" s="139"/>
      <c r="BE20" s="139"/>
      <c r="BF20" s="139"/>
      <c r="BG20" s="139"/>
      <c r="BI20" s="139"/>
      <c r="BJ20" s="139"/>
      <c r="BK20" s="139"/>
      <c r="BM20" s="139"/>
      <c r="BN20" s="139"/>
      <c r="BO20" s="139"/>
      <c r="BQ20" s="139"/>
      <c r="BR20" s="139"/>
      <c r="BS20" s="139"/>
      <c r="BU20" s="139"/>
      <c r="BV20" s="139"/>
      <c r="BW20" s="139"/>
      <c r="BY20" s="139"/>
      <c r="BZ20" s="139"/>
      <c r="CA20" s="139"/>
      <c r="CC20" s="139"/>
      <c r="CD20" s="139"/>
      <c r="CE20" s="139"/>
      <c r="CG20" s="139"/>
      <c r="CH20" s="139"/>
      <c r="CI20" s="139"/>
    </row>
    <row r="21" ht="15.75" customHeight="1">
      <c r="A21" s="147"/>
      <c r="B21" s="138"/>
      <c r="C21" s="52"/>
      <c r="E21" s="148"/>
      <c r="F21" s="149"/>
      <c r="G21" s="45"/>
      <c r="I21" s="148"/>
      <c r="J21" s="149"/>
      <c r="K21" s="45"/>
      <c r="M21" s="148"/>
      <c r="N21" s="149"/>
      <c r="O21" s="45"/>
      <c r="Q21" s="148"/>
      <c r="R21" s="149"/>
      <c r="S21" s="45"/>
      <c r="U21" s="148"/>
      <c r="V21" s="149"/>
      <c r="W21" s="45"/>
      <c r="Y21" s="148"/>
      <c r="Z21" s="149"/>
      <c r="AA21" s="45"/>
      <c r="AC21" s="148"/>
      <c r="AD21" s="149"/>
      <c r="AE21" s="45"/>
      <c r="AG21" s="148"/>
      <c r="AH21" s="149"/>
      <c r="AI21" s="45"/>
      <c r="AK21" s="148"/>
      <c r="AL21" s="149"/>
      <c r="AM21" s="45"/>
      <c r="AO21" s="148"/>
      <c r="AP21" s="149"/>
      <c r="AQ21" s="45"/>
      <c r="AS21" s="148"/>
      <c r="AT21" s="149"/>
      <c r="AU21" s="45"/>
      <c r="AW21" s="148"/>
      <c r="AX21" s="149"/>
      <c r="AY21" s="45"/>
      <c r="BA21" s="148"/>
      <c r="BB21" s="149"/>
      <c r="BC21" s="45"/>
      <c r="BE21" s="148"/>
      <c r="BF21" s="149"/>
      <c r="BG21" s="45"/>
      <c r="BI21" s="148"/>
      <c r="BJ21" s="149"/>
      <c r="BK21" s="45"/>
      <c r="BM21" s="148"/>
      <c r="BN21" s="149"/>
      <c r="BO21" s="45"/>
      <c r="BQ21" s="148"/>
      <c r="BR21" s="149"/>
      <c r="BS21" s="45"/>
      <c r="BU21" s="148"/>
      <c r="BV21" s="149"/>
      <c r="BW21" s="45"/>
      <c r="BY21" s="148"/>
      <c r="BZ21" s="149"/>
      <c r="CA21" s="45"/>
      <c r="CC21" s="148"/>
      <c r="CD21" s="149"/>
      <c r="CE21" s="45"/>
      <c r="CG21" s="148"/>
      <c r="CH21" s="149"/>
      <c r="CI21" s="45"/>
    </row>
    <row r="22" ht="15.75" customHeight="1">
      <c r="A22" s="147"/>
      <c r="B22" s="140"/>
      <c r="C22" s="57"/>
      <c r="D22" s="56"/>
      <c r="E22" s="138"/>
      <c r="G22" s="52"/>
      <c r="I22" s="138"/>
      <c r="K22" s="52"/>
      <c r="M22" s="138"/>
      <c r="O22" s="52"/>
      <c r="Q22" s="138"/>
      <c r="S22" s="52"/>
      <c r="U22" s="138"/>
      <c r="W22" s="52"/>
      <c r="Y22" s="138"/>
      <c r="AA22" s="52"/>
      <c r="AC22" s="138"/>
      <c r="AE22" s="52"/>
      <c r="AG22" s="138"/>
      <c r="AI22" s="52"/>
      <c r="AK22" s="138"/>
      <c r="AM22" s="52"/>
      <c r="AO22" s="138"/>
      <c r="AQ22" s="52"/>
      <c r="AS22" s="138"/>
      <c r="AU22" s="52"/>
      <c r="AW22" s="138"/>
      <c r="AY22" s="52"/>
      <c r="BA22" s="138"/>
      <c r="BC22" s="52"/>
      <c r="BE22" s="138"/>
      <c r="BG22" s="52"/>
      <c r="BI22" s="138"/>
      <c r="BK22" s="52"/>
      <c r="BM22" s="138"/>
      <c r="BO22" s="52"/>
      <c r="BQ22" s="138"/>
      <c r="BS22" s="52"/>
      <c r="BU22" s="138"/>
      <c r="BW22" s="52"/>
      <c r="BY22" s="138"/>
      <c r="CA22" s="52"/>
      <c r="CC22" s="138"/>
      <c r="CE22" s="52"/>
      <c r="CG22" s="138"/>
      <c r="CI22" s="52"/>
    </row>
    <row r="23" ht="24.75" customHeight="1">
      <c r="A23" s="147"/>
      <c r="B23" s="150" t="s">
        <v>168</v>
      </c>
      <c r="C23" s="151" t="s">
        <v>165</v>
      </c>
      <c r="D23" s="152" t="s">
        <v>164</v>
      </c>
      <c r="E23" s="140"/>
      <c r="F23" s="56"/>
      <c r="G23" s="57"/>
      <c r="I23" s="140"/>
      <c r="J23" s="56"/>
      <c r="K23" s="57"/>
      <c r="M23" s="140"/>
      <c r="N23" s="56"/>
      <c r="O23" s="57"/>
      <c r="Q23" s="140"/>
      <c r="R23" s="56"/>
      <c r="S23" s="57"/>
      <c r="U23" s="140"/>
      <c r="V23" s="56"/>
      <c r="W23" s="57"/>
      <c r="Y23" s="140"/>
      <c r="Z23" s="56"/>
      <c r="AA23" s="57"/>
      <c r="AC23" s="140"/>
      <c r="AD23" s="56"/>
      <c r="AE23" s="57"/>
      <c r="AG23" s="140"/>
      <c r="AH23" s="56"/>
      <c r="AI23" s="57"/>
      <c r="AK23" s="140"/>
      <c r="AL23" s="56"/>
      <c r="AM23" s="57"/>
      <c r="AO23" s="140"/>
      <c r="AP23" s="56"/>
      <c r="AQ23" s="57"/>
      <c r="AS23" s="140"/>
      <c r="AT23" s="56"/>
      <c r="AU23" s="57"/>
      <c r="AW23" s="140"/>
      <c r="AX23" s="56"/>
      <c r="AY23" s="57"/>
      <c r="BA23" s="140"/>
      <c r="BB23" s="56"/>
      <c r="BC23" s="57"/>
      <c r="BE23" s="140"/>
      <c r="BF23" s="56"/>
      <c r="BG23" s="57"/>
      <c r="BI23" s="140"/>
      <c r="BJ23" s="56"/>
      <c r="BK23" s="57"/>
      <c r="BM23" s="140"/>
      <c r="BN23" s="56"/>
      <c r="BO23" s="57"/>
      <c r="BQ23" s="140"/>
      <c r="BR23" s="56"/>
      <c r="BS23" s="57"/>
      <c r="BU23" s="140"/>
      <c r="BV23" s="56"/>
      <c r="BW23" s="57"/>
      <c r="BY23" s="140"/>
      <c r="BZ23" s="56"/>
      <c r="CA23" s="57"/>
      <c r="CC23" s="140"/>
      <c r="CD23" s="56"/>
      <c r="CE23" s="57"/>
      <c r="CG23" s="140"/>
      <c r="CH23" s="56"/>
      <c r="CI23" s="57"/>
    </row>
    <row r="24" ht="27.75" customHeight="1">
      <c r="A24" s="139"/>
      <c r="B24" s="161">
        <v>3.0</v>
      </c>
      <c r="C24" s="164" t="s">
        <v>169</v>
      </c>
      <c r="D24" s="155" t="s">
        <v>176</v>
      </c>
      <c r="E24" s="156" t="s">
        <v>171</v>
      </c>
      <c r="F24" s="38"/>
      <c r="G24" s="157"/>
      <c r="I24" s="156" t="s">
        <v>171</v>
      </c>
      <c r="J24" s="38"/>
      <c r="K24" s="157"/>
      <c r="M24" s="156" t="s">
        <v>171</v>
      </c>
      <c r="N24" s="38"/>
      <c r="O24" s="157"/>
      <c r="Q24" s="156" t="s">
        <v>171</v>
      </c>
      <c r="R24" s="38"/>
      <c r="S24" s="157"/>
      <c r="U24" s="156" t="s">
        <v>171</v>
      </c>
      <c r="V24" s="38"/>
      <c r="W24" s="157"/>
      <c r="Y24" s="156" t="s">
        <v>171</v>
      </c>
      <c r="Z24" s="38"/>
      <c r="AA24" s="157"/>
      <c r="AC24" s="156" t="s">
        <v>171</v>
      </c>
      <c r="AD24" s="38"/>
      <c r="AE24" s="157"/>
      <c r="AG24" s="156" t="s">
        <v>171</v>
      </c>
      <c r="AH24" s="38"/>
      <c r="AI24" s="157"/>
      <c r="AK24" s="156" t="s">
        <v>171</v>
      </c>
      <c r="AL24" s="38"/>
      <c r="AM24" s="157"/>
      <c r="AO24" s="156" t="s">
        <v>171</v>
      </c>
      <c r="AP24" s="38"/>
      <c r="AQ24" s="157"/>
      <c r="AS24" s="156" t="s">
        <v>171</v>
      </c>
      <c r="AT24" s="38"/>
      <c r="AU24" s="157"/>
      <c r="AW24" s="156" t="s">
        <v>171</v>
      </c>
      <c r="AX24" s="38"/>
      <c r="AY24" s="157"/>
      <c r="BA24" s="156" t="s">
        <v>171</v>
      </c>
      <c r="BB24" s="38"/>
      <c r="BC24" s="157"/>
      <c r="BE24" s="156" t="s">
        <v>171</v>
      </c>
      <c r="BF24" s="38"/>
      <c r="BG24" s="157"/>
      <c r="BI24" s="156" t="s">
        <v>171</v>
      </c>
      <c r="BJ24" s="38"/>
      <c r="BK24" s="157"/>
      <c r="BM24" s="156" t="s">
        <v>171</v>
      </c>
      <c r="BN24" s="38"/>
      <c r="BO24" s="157"/>
      <c r="BQ24" s="156" t="s">
        <v>171</v>
      </c>
      <c r="BR24" s="38"/>
      <c r="BS24" s="157"/>
      <c r="BU24" s="156" t="s">
        <v>171</v>
      </c>
      <c r="BV24" s="38"/>
      <c r="BW24" s="157"/>
      <c r="BY24" s="156" t="s">
        <v>171</v>
      </c>
      <c r="BZ24" s="38"/>
      <c r="CA24" s="157"/>
      <c r="CC24" s="156" t="s">
        <v>171</v>
      </c>
      <c r="CD24" s="38"/>
      <c r="CE24" s="157"/>
      <c r="CG24" s="156" t="s">
        <v>171</v>
      </c>
      <c r="CH24" s="38"/>
      <c r="CI24" s="157"/>
    </row>
    <row r="25" ht="10.5" customHeight="1">
      <c r="A25" s="158"/>
      <c r="B25" s="159"/>
      <c r="C25" s="159"/>
      <c r="D25" s="38"/>
      <c r="E25" s="137"/>
      <c r="I25" s="137"/>
      <c r="M25" s="137"/>
      <c r="Q25" s="137"/>
      <c r="U25" s="137"/>
      <c r="Y25" s="137"/>
      <c r="AC25" s="137"/>
      <c r="AG25" s="137"/>
      <c r="AK25" s="137"/>
      <c r="AO25" s="137"/>
      <c r="AS25" s="137"/>
      <c r="AW25" s="137"/>
      <c r="BA25" s="137"/>
      <c r="BE25" s="137"/>
      <c r="BI25" s="137"/>
      <c r="BM25" s="137"/>
      <c r="BQ25" s="137"/>
      <c r="BU25" s="137"/>
      <c r="BY25" s="137"/>
      <c r="CC25" s="137"/>
      <c r="CG25" s="137"/>
    </row>
    <row r="26">
      <c r="A26" s="142" t="b">
        <v>0</v>
      </c>
      <c r="B26" s="165" t="s">
        <v>177</v>
      </c>
      <c r="C26" s="45"/>
      <c r="D26" s="144" t="s">
        <v>38</v>
      </c>
      <c r="E26" s="145" t="s">
        <v>167</v>
      </c>
      <c r="F26" s="146"/>
      <c r="G26" s="146"/>
      <c r="I26" s="145" t="s">
        <v>167</v>
      </c>
      <c r="J26" s="146"/>
      <c r="K26" s="146"/>
      <c r="M26" s="145" t="s">
        <v>167</v>
      </c>
      <c r="N26" s="146"/>
      <c r="O26" s="146"/>
      <c r="Q26" s="145" t="s">
        <v>167</v>
      </c>
      <c r="R26" s="146"/>
      <c r="S26" s="146"/>
      <c r="U26" s="145" t="s">
        <v>167</v>
      </c>
      <c r="V26" s="146"/>
      <c r="W26" s="146"/>
      <c r="Y26" s="145" t="s">
        <v>167</v>
      </c>
      <c r="Z26" s="146"/>
      <c r="AA26" s="146"/>
      <c r="AC26" s="145" t="s">
        <v>167</v>
      </c>
      <c r="AD26" s="146"/>
      <c r="AE26" s="146"/>
      <c r="AG26" s="145" t="s">
        <v>167</v>
      </c>
      <c r="AH26" s="146"/>
      <c r="AI26" s="146"/>
      <c r="AK26" s="145" t="s">
        <v>167</v>
      </c>
      <c r="AL26" s="146"/>
      <c r="AM26" s="146"/>
      <c r="AO26" s="145" t="s">
        <v>167</v>
      </c>
      <c r="AP26" s="146"/>
      <c r="AQ26" s="146"/>
      <c r="AS26" s="145" t="s">
        <v>167</v>
      </c>
      <c r="AT26" s="146"/>
      <c r="AU26" s="146"/>
      <c r="AW26" s="145" t="s">
        <v>167</v>
      </c>
      <c r="AX26" s="146"/>
      <c r="AY26" s="146"/>
      <c r="BA26" s="145" t="s">
        <v>167</v>
      </c>
      <c r="BB26" s="146"/>
      <c r="BC26" s="146"/>
      <c r="BE26" s="145" t="s">
        <v>167</v>
      </c>
      <c r="BF26" s="146"/>
      <c r="BG26" s="146"/>
      <c r="BI26" s="145" t="s">
        <v>167</v>
      </c>
      <c r="BJ26" s="146"/>
      <c r="BK26" s="146"/>
      <c r="BM26" s="145" t="s">
        <v>167</v>
      </c>
      <c r="BN26" s="146"/>
      <c r="BO26" s="146"/>
      <c r="BQ26" s="145" t="s">
        <v>167</v>
      </c>
      <c r="BR26" s="146"/>
      <c r="BS26" s="146"/>
      <c r="BU26" s="145" t="s">
        <v>167</v>
      </c>
      <c r="BV26" s="146"/>
      <c r="BW26" s="146"/>
      <c r="BY26" s="145" t="s">
        <v>167</v>
      </c>
      <c r="BZ26" s="146"/>
      <c r="CA26" s="146"/>
      <c r="CC26" s="145" t="s">
        <v>167</v>
      </c>
      <c r="CD26" s="146"/>
      <c r="CE26" s="146"/>
      <c r="CG26" s="145" t="s">
        <v>167</v>
      </c>
      <c r="CH26" s="146"/>
      <c r="CI26" s="146"/>
    </row>
    <row r="27">
      <c r="A27" s="147"/>
      <c r="B27" s="138"/>
      <c r="C27" s="52"/>
      <c r="D27" s="138"/>
      <c r="E27" s="139"/>
      <c r="F27" s="139"/>
      <c r="G27" s="139"/>
      <c r="I27" s="139"/>
      <c r="J27" s="139"/>
      <c r="K27" s="139"/>
      <c r="M27" s="139"/>
      <c r="N27" s="139"/>
      <c r="O27" s="139"/>
      <c r="Q27" s="139"/>
      <c r="R27" s="139"/>
      <c r="S27" s="139"/>
      <c r="U27" s="139"/>
      <c r="V27" s="139"/>
      <c r="W27" s="139"/>
      <c r="Y27" s="139"/>
      <c r="Z27" s="139"/>
      <c r="AA27" s="139"/>
      <c r="AC27" s="139"/>
      <c r="AD27" s="139"/>
      <c r="AE27" s="139"/>
      <c r="AG27" s="139"/>
      <c r="AH27" s="139"/>
      <c r="AI27" s="139"/>
      <c r="AK27" s="139"/>
      <c r="AL27" s="139"/>
      <c r="AM27" s="139"/>
      <c r="AO27" s="139"/>
      <c r="AP27" s="139"/>
      <c r="AQ27" s="139"/>
      <c r="AS27" s="139"/>
      <c r="AT27" s="139"/>
      <c r="AU27" s="139"/>
      <c r="AW27" s="139"/>
      <c r="AX27" s="139"/>
      <c r="AY27" s="139"/>
      <c r="BA27" s="139"/>
      <c r="BB27" s="139"/>
      <c r="BC27" s="139"/>
      <c r="BE27" s="139"/>
      <c r="BF27" s="139"/>
      <c r="BG27" s="139"/>
      <c r="BI27" s="139"/>
      <c r="BJ27" s="139"/>
      <c r="BK27" s="139"/>
      <c r="BM27" s="139"/>
      <c r="BN27" s="139"/>
      <c r="BO27" s="139"/>
      <c r="BQ27" s="139"/>
      <c r="BR27" s="139"/>
      <c r="BS27" s="139"/>
      <c r="BU27" s="139"/>
      <c r="BV27" s="139"/>
      <c r="BW27" s="139"/>
      <c r="BY27" s="139"/>
      <c r="BZ27" s="139"/>
      <c r="CA27" s="139"/>
      <c r="CC27" s="139"/>
      <c r="CD27" s="139"/>
      <c r="CE27" s="139"/>
      <c r="CG27" s="139"/>
      <c r="CH27" s="139"/>
      <c r="CI27" s="139"/>
    </row>
    <row r="28" ht="15.0" customHeight="1">
      <c r="A28" s="147"/>
      <c r="B28" s="138"/>
      <c r="C28" s="52"/>
      <c r="D28" s="138"/>
      <c r="E28" s="148"/>
      <c r="F28" s="149"/>
      <c r="G28" s="45"/>
      <c r="I28" s="148"/>
      <c r="J28" s="149"/>
      <c r="K28" s="45"/>
      <c r="M28" s="148"/>
      <c r="N28" s="149"/>
      <c r="O28" s="45"/>
      <c r="Q28" s="148"/>
      <c r="R28" s="149"/>
      <c r="S28" s="45"/>
      <c r="U28" s="148"/>
      <c r="V28" s="149"/>
      <c r="W28" s="45"/>
      <c r="Y28" s="148"/>
      <c r="Z28" s="149"/>
      <c r="AA28" s="45"/>
      <c r="AC28" s="148"/>
      <c r="AD28" s="149"/>
      <c r="AE28" s="45"/>
      <c r="AG28" s="148"/>
      <c r="AH28" s="149"/>
      <c r="AI28" s="45"/>
      <c r="AK28" s="148"/>
      <c r="AL28" s="149"/>
      <c r="AM28" s="45"/>
      <c r="AO28" s="148"/>
      <c r="AP28" s="149"/>
      <c r="AQ28" s="45"/>
      <c r="AS28" s="148"/>
      <c r="AT28" s="149"/>
      <c r="AU28" s="45"/>
      <c r="AW28" s="148"/>
      <c r="AX28" s="149"/>
      <c r="AY28" s="45"/>
      <c r="BA28" s="148"/>
      <c r="BB28" s="149"/>
      <c r="BC28" s="45"/>
      <c r="BE28" s="148"/>
      <c r="BF28" s="149"/>
      <c r="BG28" s="45"/>
      <c r="BI28" s="148"/>
      <c r="BJ28" s="149"/>
      <c r="BK28" s="45"/>
      <c r="BM28" s="148"/>
      <c r="BN28" s="149"/>
      <c r="BO28" s="45"/>
      <c r="BQ28" s="148"/>
      <c r="BR28" s="149"/>
      <c r="BS28" s="45"/>
      <c r="BU28" s="148"/>
      <c r="BV28" s="149"/>
      <c r="BW28" s="45"/>
      <c r="BY28" s="148"/>
      <c r="BZ28" s="149"/>
      <c r="CA28" s="45"/>
      <c r="CC28" s="148"/>
      <c r="CD28" s="149"/>
      <c r="CE28" s="45"/>
      <c r="CG28" s="148"/>
      <c r="CH28" s="149"/>
      <c r="CI28" s="45"/>
    </row>
    <row r="29" ht="15.0" customHeight="1">
      <c r="A29" s="147"/>
      <c r="B29" s="140"/>
      <c r="C29" s="57"/>
      <c r="D29" s="140"/>
      <c r="E29" s="138"/>
      <c r="G29" s="52"/>
      <c r="I29" s="138"/>
      <c r="K29" s="52"/>
      <c r="M29" s="138"/>
      <c r="O29" s="52"/>
      <c r="Q29" s="138"/>
      <c r="S29" s="52"/>
      <c r="U29" s="138"/>
      <c r="W29" s="52"/>
      <c r="Y29" s="138"/>
      <c r="AA29" s="52"/>
      <c r="AC29" s="138"/>
      <c r="AE29" s="52"/>
      <c r="AG29" s="138"/>
      <c r="AI29" s="52"/>
      <c r="AK29" s="138"/>
      <c r="AM29" s="52"/>
      <c r="AO29" s="138"/>
      <c r="AQ29" s="52"/>
      <c r="AS29" s="138"/>
      <c r="AU29" s="52"/>
      <c r="AW29" s="138"/>
      <c r="AY29" s="52"/>
      <c r="BA29" s="138"/>
      <c r="BC29" s="52"/>
      <c r="BE29" s="138"/>
      <c r="BG29" s="52"/>
      <c r="BI29" s="138"/>
      <c r="BK29" s="52"/>
      <c r="BM29" s="138"/>
      <c r="BO29" s="52"/>
      <c r="BQ29" s="138"/>
      <c r="BS29" s="52"/>
      <c r="BU29" s="138"/>
      <c r="BW29" s="52"/>
      <c r="BY29" s="138"/>
      <c r="CA29" s="52"/>
      <c r="CC29" s="138"/>
      <c r="CE29" s="52"/>
      <c r="CG29" s="138"/>
      <c r="CI29" s="52"/>
    </row>
    <row r="30" ht="27.75" customHeight="1">
      <c r="A30" s="147"/>
      <c r="B30" s="150" t="s">
        <v>168</v>
      </c>
      <c r="C30" s="151" t="s">
        <v>165</v>
      </c>
      <c r="D30" s="152" t="s">
        <v>164</v>
      </c>
      <c r="E30" s="140"/>
      <c r="F30" s="56"/>
      <c r="G30" s="57"/>
      <c r="I30" s="140"/>
      <c r="J30" s="56"/>
      <c r="K30" s="57"/>
      <c r="M30" s="140"/>
      <c r="N30" s="56"/>
      <c r="O30" s="57"/>
      <c r="Q30" s="140"/>
      <c r="R30" s="56"/>
      <c r="S30" s="57"/>
      <c r="U30" s="140"/>
      <c r="V30" s="56"/>
      <c r="W30" s="57"/>
      <c r="Y30" s="140"/>
      <c r="Z30" s="56"/>
      <c r="AA30" s="57"/>
      <c r="AC30" s="140"/>
      <c r="AD30" s="56"/>
      <c r="AE30" s="57"/>
      <c r="AG30" s="140"/>
      <c r="AH30" s="56"/>
      <c r="AI30" s="57"/>
      <c r="AK30" s="140"/>
      <c r="AL30" s="56"/>
      <c r="AM30" s="57"/>
      <c r="AO30" s="140"/>
      <c r="AP30" s="56"/>
      <c r="AQ30" s="57"/>
      <c r="AS30" s="140"/>
      <c r="AT30" s="56"/>
      <c r="AU30" s="57"/>
      <c r="AW30" s="140"/>
      <c r="AX30" s="56"/>
      <c r="AY30" s="57"/>
      <c r="BA30" s="140"/>
      <c r="BB30" s="56"/>
      <c r="BC30" s="57"/>
      <c r="BE30" s="140"/>
      <c r="BF30" s="56"/>
      <c r="BG30" s="57"/>
      <c r="BI30" s="140"/>
      <c r="BJ30" s="56"/>
      <c r="BK30" s="57"/>
      <c r="BM30" s="140"/>
      <c r="BN30" s="56"/>
      <c r="BO30" s="57"/>
      <c r="BQ30" s="140"/>
      <c r="BR30" s="56"/>
      <c r="BS30" s="57"/>
      <c r="BU30" s="140"/>
      <c r="BV30" s="56"/>
      <c r="BW30" s="57"/>
      <c r="BY30" s="140"/>
      <c r="BZ30" s="56"/>
      <c r="CA30" s="57"/>
      <c r="CC30" s="140"/>
      <c r="CD30" s="56"/>
      <c r="CE30" s="57"/>
      <c r="CG30" s="140"/>
      <c r="CH30" s="56"/>
      <c r="CI30" s="57"/>
    </row>
    <row r="31" ht="26.25" customHeight="1">
      <c r="A31" s="139"/>
      <c r="B31" s="161">
        <v>3.0</v>
      </c>
      <c r="C31" s="164" t="s">
        <v>169</v>
      </c>
      <c r="D31" s="153" t="s">
        <v>174</v>
      </c>
      <c r="E31" s="156" t="s">
        <v>171</v>
      </c>
      <c r="F31" s="38"/>
      <c r="G31" s="157"/>
      <c r="I31" s="156" t="s">
        <v>171</v>
      </c>
      <c r="J31" s="38"/>
      <c r="K31" s="157"/>
      <c r="M31" s="156" t="s">
        <v>171</v>
      </c>
      <c r="N31" s="38"/>
      <c r="O31" s="157"/>
      <c r="Q31" s="156" t="s">
        <v>171</v>
      </c>
      <c r="R31" s="38"/>
      <c r="S31" s="157"/>
      <c r="U31" s="156" t="s">
        <v>171</v>
      </c>
      <c r="V31" s="38"/>
      <c r="W31" s="157"/>
      <c r="Y31" s="156" t="s">
        <v>171</v>
      </c>
      <c r="Z31" s="38"/>
      <c r="AA31" s="157"/>
      <c r="AC31" s="156" t="s">
        <v>171</v>
      </c>
      <c r="AD31" s="38"/>
      <c r="AE31" s="157"/>
      <c r="AG31" s="156" t="s">
        <v>171</v>
      </c>
      <c r="AH31" s="38"/>
      <c r="AI31" s="157"/>
      <c r="AK31" s="156" t="s">
        <v>171</v>
      </c>
      <c r="AL31" s="38"/>
      <c r="AM31" s="157"/>
      <c r="AO31" s="156" t="s">
        <v>171</v>
      </c>
      <c r="AP31" s="38"/>
      <c r="AQ31" s="157"/>
      <c r="AS31" s="156" t="s">
        <v>171</v>
      </c>
      <c r="AT31" s="38"/>
      <c r="AU31" s="157"/>
      <c r="AW31" s="156" t="s">
        <v>171</v>
      </c>
      <c r="AX31" s="38"/>
      <c r="AY31" s="157"/>
      <c r="BA31" s="156" t="s">
        <v>171</v>
      </c>
      <c r="BB31" s="38"/>
      <c r="BC31" s="157"/>
      <c r="BE31" s="156" t="s">
        <v>171</v>
      </c>
      <c r="BF31" s="38"/>
      <c r="BG31" s="157"/>
      <c r="BI31" s="156" t="s">
        <v>171</v>
      </c>
      <c r="BJ31" s="38"/>
      <c r="BK31" s="157"/>
      <c r="BM31" s="156" t="s">
        <v>171</v>
      </c>
      <c r="BN31" s="38"/>
      <c r="BO31" s="157"/>
      <c r="BQ31" s="156" t="s">
        <v>171</v>
      </c>
      <c r="BR31" s="38"/>
      <c r="BS31" s="157"/>
      <c r="BU31" s="156" t="s">
        <v>171</v>
      </c>
      <c r="BV31" s="38"/>
      <c r="BW31" s="157"/>
      <c r="BY31" s="156" t="s">
        <v>171</v>
      </c>
      <c r="BZ31" s="38"/>
      <c r="CA31" s="157"/>
      <c r="CC31" s="156" t="s">
        <v>171</v>
      </c>
      <c r="CD31" s="38"/>
      <c r="CE31" s="157"/>
      <c r="CG31" s="156" t="s">
        <v>171</v>
      </c>
      <c r="CH31" s="38"/>
      <c r="CI31" s="157"/>
    </row>
    <row r="32" ht="10.5" customHeight="1">
      <c r="A32" s="166"/>
      <c r="E32" s="137"/>
      <c r="I32" s="137"/>
      <c r="M32" s="137"/>
      <c r="Q32" s="137"/>
      <c r="U32" s="137"/>
      <c r="Y32" s="137"/>
      <c r="AC32" s="137"/>
      <c r="AG32" s="137"/>
      <c r="AK32" s="137"/>
      <c r="AO32" s="137"/>
      <c r="AS32" s="137"/>
      <c r="AW32" s="137"/>
      <c r="BA32" s="137"/>
      <c r="BE32" s="137"/>
      <c r="BI32" s="137"/>
      <c r="BM32" s="137"/>
      <c r="BQ32" s="137"/>
      <c r="BU32" s="137"/>
      <c r="BY32" s="137"/>
      <c r="CC32" s="137"/>
      <c r="CG32" s="137"/>
    </row>
    <row r="33">
      <c r="A33" s="142" t="b">
        <v>0</v>
      </c>
      <c r="B33" s="167" t="s">
        <v>178</v>
      </c>
      <c r="C33" s="45"/>
      <c r="D33" s="163" t="s">
        <v>38</v>
      </c>
      <c r="E33" s="145" t="s">
        <v>167</v>
      </c>
      <c r="F33" s="146"/>
      <c r="G33" s="146"/>
      <c r="I33" s="145" t="s">
        <v>167</v>
      </c>
      <c r="J33" s="146"/>
      <c r="K33" s="146"/>
      <c r="M33" s="145" t="s">
        <v>167</v>
      </c>
      <c r="N33" s="146"/>
      <c r="O33" s="146"/>
      <c r="Q33" s="145" t="s">
        <v>167</v>
      </c>
      <c r="R33" s="146"/>
      <c r="S33" s="146"/>
      <c r="U33" s="145" t="s">
        <v>167</v>
      </c>
      <c r="V33" s="146"/>
      <c r="W33" s="146"/>
      <c r="Y33" s="145" t="s">
        <v>167</v>
      </c>
      <c r="Z33" s="146"/>
      <c r="AA33" s="146"/>
      <c r="AC33" s="145" t="s">
        <v>167</v>
      </c>
      <c r="AD33" s="146"/>
      <c r="AE33" s="146"/>
      <c r="AG33" s="145" t="s">
        <v>167</v>
      </c>
      <c r="AH33" s="146"/>
      <c r="AI33" s="146"/>
      <c r="AK33" s="145" t="s">
        <v>167</v>
      </c>
      <c r="AL33" s="146"/>
      <c r="AM33" s="146"/>
      <c r="AO33" s="145" t="s">
        <v>167</v>
      </c>
      <c r="AP33" s="146"/>
      <c r="AQ33" s="146"/>
      <c r="AS33" s="145" t="s">
        <v>167</v>
      </c>
      <c r="AT33" s="146"/>
      <c r="AU33" s="146"/>
      <c r="AW33" s="145" t="s">
        <v>167</v>
      </c>
      <c r="AX33" s="146"/>
      <c r="AY33" s="146"/>
      <c r="BA33" s="145" t="s">
        <v>167</v>
      </c>
      <c r="BB33" s="146"/>
      <c r="BC33" s="146"/>
      <c r="BE33" s="145" t="s">
        <v>167</v>
      </c>
      <c r="BF33" s="146"/>
      <c r="BG33" s="146"/>
      <c r="BI33" s="145" t="s">
        <v>167</v>
      </c>
      <c r="BJ33" s="146"/>
      <c r="BK33" s="146"/>
      <c r="BM33" s="145" t="s">
        <v>167</v>
      </c>
      <c r="BN33" s="146"/>
      <c r="BO33" s="146"/>
      <c r="BQ33" s="145" t="s">
        <v>167</v>
      </c>
      <c r="BR33" s="146"/>
      <c r="BS33" s="146"/>
      <c r="BU33" s="145" t="s">
        <v>167</v>
      </c>
      <c r="BV33" s="146"/>
      <c r="BW33" s="146"/>
      <c r="BY33" s="145" t="s">
        <v>167</v>
      </c>
      <c r="BZ33" s="146"/>
      <c r="CA33" s="146"/>
      <c r="CC33" s="145" t="s">
        <v>167</v>
      </c>
      <c r="CD33" s="146"/>
      <c r="CE33" s="146"/>
      <c r="CG33" s="145" t="s">
        <v>167</v>
      </c>
      <c r="CH33" s="146"/>
      <c r="CI33" s="146"/>
    </row>
    <row r="34">
      <c r="A34" s="147"/>
      <c r="C34" s="52"/>
      <c r="E34" s="139"/>
      <c r="F34" s="139"/>
      <c r="G34" s="139"/>
      <c r="I34" s="139"/>
      <c r="J34" s="139"/>
      <c r="K34" s="139"/>
      <c r="M34" s="139"/>
      <c r="N34" s="139"/>
      <c r="O34" s="139"/>
      <c r="Q34" s="139"/>
      <c r="R34" s="139"/>
      <c r="S34" s="139"/>
      <c r="U34" s="139"/>
      <c r="V34" s="139"/>
      <c r="W34" s="139"/>
      <c r="Y34" s="139"/>
      <c r="Z34" s="139"/>
      <c r="AA34" s="139"/>
      <c r="AC34" s="139"/>
      <c r="AD34" s="139"/>
      <c r="AE34" s="139"/>
      <c r="AG34" s="139"/>
      <c r="AH34" s="139"/>
      <c r="AI34" s="139"/>
      <c r="AK34" s="139"/>
      <c r="AL34" s="139"/>
      <c r="AM34" s="139"/>
      <c r="AO34" s="139"/>
      <c r="AP34" s="139"/>
      <c r="AQ34" s="139"/>
      <c r="AS34" s="139"/>
      <c r="AT34" s="139"/>
      <c r="AU34" s="139"/>
      <c r="AW34" s="139"/>
      <c r="AX34" s="139"/>
      <c r="AY34" s="139"/>
      <c r="BA34" s="139"/>
      <c r="BB34" s="139"/>
      <c r="BC34" s="139"/>
      <c r="BE34" s="139"/>
      <c r="BF34" s="139"/>
      <c r="BG34" s="139"/>
      <c r="BI34" s="139"/>
      <c r="BJ34" s="139"/>
      <c r="BK34" s="139"/>
      <c r="BM34" s="139"/>
      <c r="BN34" s="139"/>
      <c r="BO34" s="139"/>
      <c r="BQ34" s="139"/>
      <c r="BR34" s="139"/>
      <c r="BS34" s="139"/>
      <c r="BU34" s="139"/>
      <c r="BV34" s="139"/>
      <c r="BW34" s="139"/>
      <c r="BY34" s="139"/>
      <c r="BZ34" s="139"/>
      <c r="CA34" s="139"/>
      <c r="CC34" s="139"/>
      <c r="CD34" s="139"/>
      <c r="CE34" s="139"/>
      <c r="CG34" s="139"/>
      <c r="CH34" s="139"/>
      <c r="CI34" s="139"/>
    </row>
    <row r="35" ht="19.5" customHeight="1">
      <c r="A35" s="147"/>
      <c r="C35" s="52"/>
      <c r="E35" s="148"/>
      <c r="F35" s="149"/>
      <c r="G35" s="45"/>
      <c r="I35" s="148"/>
      <c r="J35" s="149"/>
      <c r="K35" s="45"/>
      <c r="M35" s="148"/>
      <c r="N35" s="149"/>
      <c r="O35" s="45"/>
      <c r="Q35" s="148"/>
      <c r="R35" s="149"/>
      <c r="S35" s="45"/>
      <c r="U35" s="148"/>
      <c r="V35" s="149"/>
      <c r="W35" s="45"/>
      <c r="Y35" s="148"/>
      <c r="Z35" s="149"/>
      <c r="AA35" s="45"/>
      <c r="AC35" s="148"/>
      <c r="AD35" s="149"/>
      <c r="AE35" s="45"/>
      <c r="AG35" s="148"/>
      <c r="AH35" s="149"/>
      <c r="AI35" s="45"/>
      <c r="AK35" s="148"/>
      <c r="AL35" s="149"/>
      <c r="AM35" s="45"/>
      <c r="AO35" s="148"/>
      <c r="AP35" s="149"/>
      <c r="AQ35" s="45"/>
      <c r="AS35" s="148"/>
      <c r="AT35" s="149"/>
      <c r="AU35" s="45"/>
      <c r="AW35" s="148"/>
      <c r="AX35" s="149"/>
      <c r="AY35" s="45"/>
      <c r="BA35" s="148"/>
      <c r="BB35" s="149"/>
      <c r="BC35" s="45"/>
      <c r="BE35" s="148"/>
      <c r="BF35" s="149"/>
      <c r="BG35" s="45"/>
      <c r="BI35" s="148"/>
      <c r="BJ35" s="149"/>
      <c r="BK35" s="45"/>
      <c r="BM35" s="148"/>
      <c r="BN35" s="149"/>
      <c r="BO35" s="45"/>
      <c r="BQ35" s="148"/>
      <c r="BR35" s="149"/>
      <c r="BS35" s="45"/>
      <c r="BU35" s="148"/>
      <c r="BV35" s="149"/>
      <c r="BW35" s="45"/>
      <c r="BY35" s="148"/>
      <c r="BZ35" s="149"/>
      <c r="CA35" s="45"/>
      <c r="CC35" s="148"/>
      <c r="CD35" s="149"/>
      <c r="CE35" s="45"/>
      <c r="CG35" s="148"/>
      <c r="CH35" s="149"/>
      <c r="CI35" s="45"/>
    </row>
    <row r="36" ht="19.5" customHeight="1">
      <c r="A36" s="147"/>
      <c r="B36" s="56"/>
      <c r="C36" s="57"/>
      <c r="D36" s="56"/>
      <c r="E36" s="138"/>
      <c r="G36" s="52"/>
      <c r="I36" s="138"/>
      <c r="K36" s="52"/>
      <c r="M36" s="138"/>
      <c r="O36" s="52"/>
      <c r="Q36" s="138"/>
      <c r="S36" s="52"/>
      <c r="U36" s="138"/>
      <c r="W36" s="52"/>
      <c r="Y36" s="138"/>
      <c r="AA36" s="52"/>
      <c r="AC36" s="138"/>
      <c r="AE36" s="52"/>
      <c r="AG36" s="138"/>
      <c r="AI36" s="52"/>
      <c r="AK36" s="138"/>
      <c r="AM36" s="52"/>
      <c r="AO36" s="138"/>
      <c r="AQ36" s="52"/>
      <c r="AS36" s="138"/>
      <c r="AU36" s="52"/>
      <c r="AW36" s="138"/>
      <c r="AY36" s="52"/>
      <c r="BA36" s="138"/>
      <c r="BC36" s="52"/>
      <c r="BE36" s="138"/>
      <c r="BG36" s="52"/>
      <c r="BI36" s="138"/>
      <c r="BK36" s="52"/>
      <c r="BM36" s="138"/>
      <c r="BO36" s="52"/>
      <c r="BQ36" s="138"/>
      <c r="BS36" s="52"/>
      <c r="BU36" s="138"/>
      <c r="BW36" s="52"/>
      <c r="BY36" s="138"/>
      <c r="CA36" s="52"/>
      <c r="CC36" s="138"/>
      <c r="CE36" s="52"/>
      <c r="CG36" s="138"/>
      <c r="CI36" s="52"/>
    </row>
    <row r="37" ht="24.0" customHeight="1">
      <c r="A37" s="147"/>
      <c r="B37" s="168" t="s">
        <v>168</v>
      </c>
      <c r="C37" s="151" t="s">
        <v>165</v>
      </c>
      <c r="D37" s="152" t="s">
        <v>164</v>
      </c>
      <c r="E37" s="140"/>
      <c r="F37" s="56"/>
      <c r="G37" s="57"/>
      <c r="I37" s="140"/>
      <c r="J37" s="56"/>
      <c r="K37" s="57"/>
      <c r="M37" s="140"/>
      <c r="N37" s="56"/>
      <c r="O37" s="57"/>
      <c r="Q37" s="140"/>
      <c r="R37" s="56"/>
      <c r="S37" s="57"/>
      <c r="U37" s="140"/>
      <c r="V37" s="56"/>
      <c r="W37" s="57"/>
      <c r="Y37" s="140"/>
      <c r="Z37" s="56"/>
      <c r="AA37" s="57"/>
      <c r="AC37" s="140"/>
      <c r="AD37" s="56"/>
      <c r="AE37" s="57"/>
      <c r="AG37" s="140"/>
      <c r="AH37" s="56"/>
      <c r="AI37" s="57"/>
      <c r="AK37" s="140"/>
      <c r="AL37" s="56"/>
      <c r="AM37" s="57"/>
      <c r="AO37" s="140"/>
      <c r="AP37" s="56"/>
      <c r="AQ37" s="57"/>
      <c r="AS37" s="140"/>
      <c r="AT37" s="56"/>
      <c r="AU37" s="57"/>
      <c r="AW37" s="140"/>
      <c r="AX37" s="56"/>
      <c r="AY37" s="57"/>
      <c r="BA37" s="140"/>
      <c r="BB37" s="56"/>
      <c r="BC37" s="57"/>
      <c r="BE37" s="140"/>
      <c r="BF37" s="56"/>
      <c r="BG37" s="57"/>
      <c r="BI37" s="140"/>
      <c r="BJ37" s="56"/>
      <c r="BK37" s="57"/>
      <c r="BM37" s="140"/>
      <c r="BN37" s="56"/>
      <c r="BO37" s="57"/>
      <c r="BQ37" s="140"/>
      <c r="BR37" s="56"/>
      <c r="BS37" s="57"/>
      <c r="BU37" s="140"/>
      <c r="BV37" s="56"/>
      <c r="BW37" s="57"/>
      <c r="BY37" s="140"/>
      <c r="BZ37" s="56"/>
      <c r="CA37" s="57"/>
      <c r="CC37" s="140"/>
      <c r="CD37" s="56"/>
      <c r="CE37" s="57"/>
      <c r="CG37" s="140"/>
      <c r="CH37" s="56"/>
      <c r="CI37" s="57"/>
    </row>
    <row r="38" ht="28.5" customHeight="1">
      <c r="A38" s="139"/>
      <c r="B38" s="161">
        <v>3.0</v>
      </c>
      <c r="C38" s="164" t="s">
        <v>169</v>
      </c>
      <c r="D38" s="155" t="s">
        <v>179</v>
      </c>
      <c r="E38" s="156" t="s">
        <v>171</v>
      </c>
      <c r="F38" s="38"/>
      <c r="G38" s="157"/>
      <c r="I38" s="156" t="s">
        <v>171</v>
      </c>
      <c r="J38" s="38"/>
      <c r="K38" s="157"/>
      <c r="M38" s="156" t="s">
        <v>171</v>
      </c>
      <c r="N38" s="38"/>
      <c r="O38" s="157"/>
      <c r="Q38" s="156" t="s">
        <v>171</v>
      </c>
      <c r="R38" s="38"/>
      <c r="S38" s="157"/>
      <c r="U38" s="156" t="s">
        <v>171</v>
      </c>
      <c r="V38" s="38"/>
      <c r="W38" s="157"/>
      <c r="Y38" s="156" t="s">
        <v>171</v>
      </c>
      <c r="Z38" s="38"/>
      <c r="AA38" s="157"/>
      <c r="AC38" s="156" t="s">
        <v>171</v>
      </c>
      <c r="AD38" s="38"/>
      <c r="AE38" s="157"/>
      <c r="AG38" s="156" t="s">
        <v>171</v>
      </c>
      <c r="AH38" s="38"/>
      <c r="AI38" s="157"/>
      <c r="AK38" s="156" t="s">
        <v>171</v>
      </c>
      <c r="AL38" s="38"/>
      <c r="AM38" s="157"/>
      <c r="AO38" s="156" t="s">
        <v>171</v>
      </c>
      <c r="AP38" s="38"/>
      <c r="AQ38" s="157"/>
      <c r="AS38" s="156" t="s">
        <v>171</v>
      </c>
      <c r="AT38" s="38"/>
      <c r="AU38" s="157"/>
      <c r="AW38" s="156" t="s">
        <v>171</v>
      </c>
      <c r="AX38" s="38"/>
      <c r="AY38" s="157"/>
      <c r="BA38" s="156" t="s">
        <v>171</v>
      </c>
      <c r="BB38" s="38"/>
      <c r="BC38" s="157"/>
      <c r="BE38" s="156" t="s">
        <v>171</v>
      </c>
      <c r="BF38" s="38"/>
      <c r="BG38" s="157"/>
      <c r="BI38" s="156" t="s">
        <v>171</v>
      </c>
      <c r="BJ38" s="38"/>
      <c r="BK38" s="157"/>
      <c r="BM38" s="156" t="s">
        <v>171</v>
      </c>
      <c r="BN38" s="38"/>
      <c r="BO38" s="157"/>
      <c r="BQ38" s="156" t="s">
        <v>171</v>
      </c>
      <c r="BR38" s="38"/>
      <c r="BS38" s="157"/>
      <c r="BU38" s="156" t="s">
        <v>171</v>
      </c>
      <c r="BV38" s="38"/>
      <c r="BW38" s="157"/>
      <c r="BY38" s="156" t="s">
        <v>171</v>
      </c>
      <c r="BZ38" s="38"/>
      <c r="CA38" s="157"/>
      <c r="CC38" s="156" t="s">
        <v>171</v>
      </c>
      <c r="CD38" s="38"/>
      <c r="CE38" s="157"/>
      <c r="CG38" s="156" t="s">
        <v>171</v>
      </c>
      <c r="CH38" s="38"/>
      <c r="CI38" s="157"/>
    </row>
    <row r="39" ht="10.5" customHeight="1">
      <c r="A39" s="166"/>
      <c r="E39" s="137"/>
      <c r="I39" s="137"/>
      <c r="M39" s="137"/>
      <c r="Q39" s="137"/>
      <c r="U39" s="137"/>
      <c r="Y39" s="137"/>
      <c r="AC39" s="137"/>
      <c r="AG39" s="137"/>
      <c r="AK39" s="137"/>
      <c r="AO39" s="137"/>
      <c r="AS39" s="137"/>
      <c r="AW39" s="137"/>
      <c r="BA39" s="137"/>
      <c r="BE39" s="137"/>
      <c r="BI39" s="137"/>
      <c r="BM39" s="137"/>
      <c r="BQ39" s="137"/>
      <c r="BU39" s="137"/>
      <c r="BY39" s="137"/>
      <c r="CC39" s="137"/>
      <c r="CG39" s="137"/>
    </row>
    <row r="40">
      <c r="A40" s="142" t="b">
        <v>0</v>
      </c>
      <c r="B40" s="165" t="s">
        <v>180</v>
      </c>
      <c r="C40" s="45"/>
      <c r="D40" s="144" t="s">
        <v>38</v>
      </c>
      <c r="E40" s="145" t="s">
        <v>167</v>
      </c>
      <c r="F40" s="146"/>
      <c r="G40" s="146"/>
      <c r="I40" s="145" t="s">
        <v>167</v>
      </c>
      <c r="J40" s="146"/>
      <c r="K40" s="146"/>
      <c r="M40" s="145" t="s">
        <v>167</v>
      </c>
      <c r="N40" s="146"/>
      <c r="O40" s="146"/>
      <c r="Q40" s="145" t="s">
        <v>167</v>
      </c>
      <c r="R40" s="146"/>
      <c r="S40" s="146"/>
      <c r="U40" s="145" t="s">
        <v>167</v>
      </c>
      <c r="V40" s="146"/>
      <c r="W40" s="146"/>
      <c r="Y40" s="145" t="s">
        <v>167</v>
      </c>
      <c r="Z40" s="146"/>
      <c r="AA40" s="146"/>
      <c r="AC40" s="145" t="s">
        <v>167</v>
      </c>
      <c r="AD40" s="146"/>
      <c r="AE40" s="146"/>
      <c r="AG40" s="145" t="s">
        <v>167</v>
      </c>
      <c r="AH40" s="146"/>
      <c r="AI40" s="146"/>
      <c r="AK40" s="145" t="s">
        <v>167</v>
      </c>
      <c r="AL40" s="146"/>
      <c r="AM40" s="146"/>
      <c r="AO40" s="145" t="s">
        <v>167</v>
      </c>
      <c r="AP40" s="146"/>
      <c r="AQ40" s="146"/>
      <c r="AS40" s="145" t="s">
        <v>167</v>
      </c>
      <c r="AT40" s="146"/>
      <c r="AU40" s="146"/>
      <c r="AW40" s="145" t="s">
        <v>167</v>
      </c>
      <c r="AX40" s="146"/>
      <c r="AY40" s="146"/>
      <c r="BA40" s="145" t="s">
        <v>167</v>
      </c>
      <c r="BB40" s="146"/>
      <c r="BC40" s="146"/>
      <c r="BE40" s="145" t="s">
        <v>167</v>
      </c>
      <c r="BF40" s="146"/>
      <c r="BG40" s="146"/>
      <c r="BI40" s="145" t="s">
        <v>167</v>
      </c>
      <c r="BJ40" s="146"/>
      <c r="BK40" s="146"/>
      <c r="BM40" s="145" t="s">
        <v>167</v>
      </c>
      <c r="BN40" s="146"/>
      <c r="BO40" s="146"/>
      <c r="BQ40" s="145" t="s">
        <v>167</v>
      </c>
      <c r="BR40" s="146"/>
      <c r="BS40" s="146"/>
      <c r="BU40" s="145" t="s">
        <v>167</v>
      </c>
      <c r="BV40" s="146"/>
      <c r="BW40" s="146"/>
      <c r="BY40" s="145" t="s">
        <v>167</v>
      </c>
      <c r="BZ40" s="146"/>
      <c r="CA40" s="146"/>
      <c r="CC40" s="145" t="s">
        <v>167</v>
      </c>
      <c r="CD40" s="146"/>
      <c r="CE40" s="146"/>
      <c r="CG40" s="145" t="s">
        <v>167</v>
      </c>
      <c r="CH40" s="146"/>
      <c r="CI40" s="146"/>
    </row>
    <row r="41">
      <c r="A41" s="147"/>
      <c r="B41" s="138"/>
      <c r="C41" s="52"/>
      <c r="D41" s="138"/>
      <c r="E41" s="139"/>
      <c r="F41" s="139"/>
      <c r="G41" s="139"/>
      <c r="I41" s="139"/>
      <c r="J41" s="139"/>
      <c r="K41" s="139"/>
      <c r="M41" s="139"/>
      <c r="N41" s="139"/>
      <c r="O41" s="139"/>
      <c r="Q41" s="139"/>
      <c r="R41" s="139"/>
      <c r="S41" s="139"/>
      <c r="U41" s="139"/>
      <c r="V41" s="139"/>
      <c r="W41" s="139"/>
      <c r="Y41" s="139"/>
      <c r="Z41" s="139"/>
      <c r="AA41" s="139"/>
      <c r="AC41" s="139"/>
      <c r="AD41" s="139"/>
      <c r="AE41" s="139"/>
      <c r="AG41" s="139"/>
      <c r="AH41" s="139"/>
      <c r="AI41" s="139"/>
      <c r="AK41" s="139"/>
      <c r="AL41" s="139"/>
      <c r="AM41" s="139"/>
      <c r="AO41" s="139"/>
      <c r="AP41" s="139"/>
      <c r="AQ41" s="139"/>
      <c r="AS41" s="139"/>
      <c r="AT41" s="139"/>
      <c r="AU41" s="139"/>
      <c r="AW41" s="139"/>
      <c r="AX41" s="139"/>
      <c r="AY41" s="139"/>
      <c r="BA41" s="139"/>
      <c r="BB41" s="139"/>
      <c r="BC41" s="139"/>
      <c r="BE41" s="139"/>
      <c r="BF41" s="139"/>
      <c r="BG41" s="139"/>
      <c r="BI41" s="139"/>
      <c r="BJ41" s="139"/>
      <c r="BK41" s="139"/>
      <c r="BM41" s="139"/>
      <c r="BN41" s="139"/>
      <c r="BO41" s="139"/>
      <c r="BQ41" s="139"/>
      <c r="BR41" s="139"/>
      <c r="BS41" s="139"/>
      <c r="BU41" s="139"/>
      <c r="BV41" s="139"/>
      <c r="BW41" s="139"/>
      <c r="BY41" s="139"/>
      <c r="BZ41" s="139"/>
      <c r="CA41" s="139"/>
      <c r="CC41" s="139"/>
      <c r="CD41" s="139"/>
      <c r="CE41" s="139"/>
      <c r="CG41" s="139"/>
      <c r="CH41" s="139"/>
      <c r="CI41" s="139"/>
    </row>
    <row r="42" ht="16.5" customHeight="1">
      <c r="A42" s="147"/>
      <c r="B42" s="138"/>
      <c r="C42" s="52"/>
      <c r="D42" s="138"/>
      <c r="E42" s="148"/>
      <c r="F42" s="149"/>
      <c r="G42" s="45"/>
      <c r="I42" s="148"/>
      <c r="J42" s="149"/>
      <c r="K42" s="45"/>
      <c r="M42" s="148"/>
      <c r="N42" s="149"/>
      <c r="O42" s="45"/>
      <c r="Q42" s="148"/>
      <c r="R42" s="149"/>
      <c r="S42" s="45"/>
      <c r="U42" s="148"/>
      <c r="V42" s="149"/>
      <c r="W42" s="45"/>
      <c r="Y42" s="148"/>
      <c r="Z42" s="149"/>
      <c r="AA42" s="45"/>
      <c r="AC42" s="148"/>
      <c r="AD42" s="149"/>
      <c r="AE42" s="45"/>
      <c r="AG42" s="148"/>
      <c r="AH42" s="149"/>
      <c r="AI42" s="45"/>
      <c r="AK42" s="148"/>
      <c r="AL42" s="149"/>
      <c r="AM42" s="45"/>
      <c r="AO42" s="148"/>
      <c r="AP42" s="149"/>
      <c r="AQ42" s="45"/>
      <c r="AS42" s="148"/>
      <c r="AT42" s="149"/>
      <c r="AU42" s="45"/>
      <c r="AW42" s="148"/>
      <c r="AX42" s="149"/>
      <c r="AY42" s="45"/>
      <c r="BA42" s="148"/>
      <c r="BB42" s="149"/>
      <c r="BC42" s="45"/>
      <c r="BE42" s="148"/>
      <c r="BF42" s="149"/>
      <c r="BG42" s="45"/>
      <c r="BI42" s="148"/>
      <c r="BJ42" s="149"/>
      <c r="BK42" s="45"/>
      <c r="BM42" s="148"/>
      <c r="BN42" s="149"/>
      <c r="BO42" s="45"/>
      <c r="BQ42" s="148"/>
      <c r="BR42" s="149"/>
      <c r="BS42" s="45"/>
      <c r="BU42" s="148"/>
      <c r="BV42" s="149"/>
      <c r="BW42" s="45"/>
      <c r="BY42" s="148"/>
      <c r="BZ42" s="149"/>
      <c r="CA42" s="45"/>
      <c r="CC42" s="148"/>
      <c r="CD42" s="149"/>
      <c r="CE42" s="45"/>
      <c r="CG42" s="148"/>
      <c r="CH42" s="149"/>
      <c r="CI42" s="45"/>
    </row>
    <row r="43" ht="16.5" customHeight="1">
      <c r="A43" s="147"/>
      <c r="B43" s="140"/>
      <c r="C43" s="57"/>
      <c r="D43" s="140"/>
      <c r="E43" s="138"/>
      <c r="G43" s="52"/>
      <c r="I43" s="138"/>
      <c r="K43" s="52"/>
      <c r="M43" s="138"/>
      <c r="O43" s="52"/>
      <c r="Q43" s="138"/>
      <c r="S43" s="52"/>
      <c r="U43" s="138"/>
      <c r="W43" s="52"/>
      <c r="Y43" s="138"/>
      <c r="AA43" s="52"/>
      <c r="AC43" s="138"/>
      <c r="AE43" s="52"/>
      <c r="AG43" s="138"/>
      <c r="AI43" s="52"/>
      <c r="AK43" s="138"/>
      <c r="AM43" s="52"/>
      <c r="AO43" s="138"/>
      <c r="AQ43" s="52"/>
      <c r="AS43" s="138"/>
      <c r="AU43" s="52"/>
      <c r="AW43" s="138"/>
      <c r="AY43" s="52"/>
      <c r="BA43" s="138"/>
      <c r="BC43" s="52"/>
      <c r="BE43" s="138"/>
      <c r="BG43" s="52"/>
      <c r="BI43" s="138"/>
      <c r="BK43" s="52"/>
      <c r="BM43" s="138"/>
      <c r="BO43" s="52"/>
      <c r="BQ43" s="138"/>
      <c r="BS43" s="52"/>
      <c r="BU43" s="138"/>
      <c r="BW43" s="52"/>
      <c r="BY43" s="138"/>
      <c r="CA43" s="52"/>
      <c r="CC43" s="138"/>
      <c r="CE43" s="52"/>
      <c r="CG43" s="138"/>
      <c r="CI43" s="52"/>
    </row>
    <row r="44" ht="24.0" customHeight="1">
      <c r="A44" s="147"/>
      <c r="B44" s="150" t="s">
        <v>168</v>
      </c>
      <c r="C44" s="151" t="s">
        <v>165</v>
      </c>
      <c r="D44" s="152" t="s">
        <v>164</v>
      </c>
      <c r="E44" s="140"/>
      <c r="F44" s="56"/>
      <c r="G44" s="57"/>
      <c r="I44" s="140"/>
      <c r="J44" s="56"/>
      <c r="K44" s="57"/>
      <c r="M44" s="140"/>
      <c r="N44" s="56"/>
      <c r="O44" s="57"/>
      <c r="Q44" s="140"/>
      <c r="R44" s="56"/>
      <c r="S44" s="57"/>
      <c r="U44" s="140"/>
      <c r="V44" s="56"/>
      <c r="W44" s="57"/>
      <c r="Y44" s="140"/>
      <c r="Z44" s="56"/>
      <c r="AA44" s="57"/>
      <c r="AC44" s="140"/>
      <c r="AD44" s="56"/>
      <c r="AE44" s="57"/>
      <c r="AG44" s="140"/>
      <c r="AH44" s="56"/>
      <c r="AI44" s="57"/>
      <c r="AK44" s="140"/>
      <c r="AL44" s="56"/>
      <c r="AM44" s="57"/>
      <c r="AO44" s="140"/>
      <c r="AP44" s="56"/>
      <c r="AQ44" s="57"/>
      <c r="AS44" s="140"/>
      <c r="AT44" s="56"/>
      <c r="AU44" s="57"/>
      <c r="AW44" s="140"/>
      <c r="AX44" s="56"/>
      <c r="AY44" s="57"/>
      <c r="BA44" s="140"/>
      <c r="BB44" s="56"/>
      <c r="BC44" s="57"/>
      <c r="BE44" s="140"/>
      <c r="BF44" s="56"/>
      <c r="BG44" s="57"/>
      <c r="BI44" s="140"/>
      <c r="BJ44" s="56"/>
      <c r="BK44" s="57"/>
      <c r="BM44" s="140"/>
      <c r="BN44" s="56"/>
      <c r="BO44" s="57"/>
      <c r="BQ44" s="140"/>
      <c r="BR44" s="56"/>
      <c r="BS44" s="57"/>
      <c r="BU44" s="140"/>
      <c r="BV44" s="56"/>
      <c r="BW44" s="57"/>
      <c r="BY44" s="140"/>
      <c r="BZ44" s="56"/>
      <c r="CA44" s="57"/>
      <c r="CC44" s="140"/>
      <c r="CD44" s="56"/>
      <c r="CE44" s="57"/>
      <c r="CG44" s="140"/>
      <c r="CH44" s="56"/>
      <c r="CI44" s="57"/>
    </row>
    <row r="45" ht="25.5" customHeight="1">
      <c r="A45" s="139"/>
      <c r="B45" s="161">
        <v>3.0</v>
      </c>
      <c r="C45" s="161" t="s">
        <v>181</v>
      </c>
      <c r="D45" s="155" t="s">
        <v>182</v>
      </c>
      <c r="E45" s="156" t="s">
        <v>171</v>
      </c>
      <c r="F45" s="38"/>
      <c r="G45" s="157"/>
      <c r="I45" s="156" t="s">
        <v>171</v>
      </c>
      <c r="J45" s="38"/>
      <c r="K45" s="157"/>
      <c r="M45" s="156" t="s">
        <v>171</v>
      </c>
      <c r="N45" s="38"/>
      <c r="O45" s="157"/>
      <c r="Q45" s="156" t="s">
        <v>171</v>
      </c>
      <c r="R45" s="38"/>
      <c r="S45" s="157"/>
      <c r="U45" s="156" t="s">
        <v>171</v>
      </c>
      <c r="V45" s="38"/>
      <c r="W45" s="157"/>
      <c r="Y45" s="156" t="s">
        <v>171</v>
      </c>
      <c r="Z45" s="38"/>
      <c r="AA45" s="157"/>
      <c r="AC45" s="156" t="s">
        <v>171</v>
      </c>
      <c r="AD45" s="38"/>
      <c r="AE45" s="157"/>
      <c r="AG45" s="156" t="s">
        <v>171</v>
      </c>
      <c r="AH45" s="38"/>
      <c r="AI45" s="157"/>
      <c r="AK45" s="156" t="s">
        <v>171</v>
      </c>
      <c r="AL45" s="38"/>
      <c r="AM45" s="157"/>
      <c r="AO45" s="156" t="s">
        <v>171</v>
      </c>
      <c r="AP45" s="38"/>
      <c r="AQ45" s="157"/>
      <c r="AS45" s="156" t="s">
        <v>171</v>
      </c>
      <c r="AT45" s="38"/>
      <c r="AU45" s="157"/>
      <c r="AW45" s="156" t="s">
        <v>171</v>
      </c>
      <c r="AX45" s="38"/>
      <c r="AY45" s="157"/>
      <c r="BA45" s="156" t="s">
        <v>171</v>
      </c>
      <c r="BB45" s="38"/>
      <c r="BC45" s="157"/>
      <c r="BE45" s="156" t="s">
        <v>171</v>
      </c>
      <c r="BF45" s="38"/>
      <c r="BG45" s="157"/>
      <c r="BI45" s="156" t="s">
        <v>171</v>
      </c>
      <c r="BJ45" s="38"/>
      <c r="BK45" s="157"/>
      <c r="BM45" s="156" t="s">
        <v>171</v>
      </c>
      <c r="BN45" s="38"/>
      <c r="BO45" s="157"/>
      <c r="BQ45" s="156" t="s">
        <v>171</v>
      </c>
      <c r="BR45" s="38"/>
      <c r="BS45" s="157"/>
      <c r="BU45" s="156" t="s">
        <v>171</v>
      </c>
      <c r="BV45" s="38"/>
      <c r="BW45" s="157"/>
      <c r="BY45" s="156" t="s">
        <v>171</v>
      </c>
      <c r="BZ45" s="38"/>
      <c r="CA45" s="157"/>
      <c r="CC45" s="156" t="s">
        <v>171</v>
      </c>
      <c r="CD45" s="38"/>
      <c r="CE45" s="157"/>
      <c r="CG45" s="156" t="s">
        <v>171</v>
      </c>
      <c r="CH45" s="38"/>
      <c r="CI45" s="157"/>
    </row>
    <row r="46" ht="11.25" customHeight="1">
      <c r="A46" s="166"/>
      <c r="E46" s="137"/>
      <c r="I46" s="137"/>
      <c r="M46" s="137"/>
      <c r="Q46" s="137"/>
      <c r="U46" s="137"/>
      <c r="Y46" s="137"/>
      <c r="AC46" s="137"/>
      <c r="AG46" s="137"/>
      <c r="AK46" s="137"/>
      <c r="AO46" s="137"/>
      <c r="AS46" s="137"/>
      <c r="AW46" s="137"/>
      <c r="BA46" s="137"/>
      <c r="BE46" s="137"/>
      <c r="BI46" s="137"/>
      <c r="BM46" s="137"/>
      <c r="BQ46" s="137"/>
      <c r="BU46" s="137"/>
      <c r="BY46" s="137"/>
      <c r="CC46" s="137"/>
      <c r="CG46" s="137"/>
    </row>
    <row r="47">
      <c r="A47" s="142" t="b">
        <v>0</v>
      </c>
      <c r="B47" s="143" t="s">
        <v>183</v>
      </c>
      <c r="C47" s="45"/>
      <c r="D47" s="163" t="s">
        <v>38</v>
      </c>
      <c r="E47" s="145" t="s">
        <v>167</v>
      </c>
      <c r="F47" s="146"/>
      <c r="G47" s="146"/>
      <c r="I47" s="145" t="s">
        <v>167</v>
      </c>
      <c r="J47" s="146"/>
      <c r="K47" s="146"/>
      <c r="M47" s="145" t="s">
        <v>167</v>
      </c>
      <c r="N47" s="146"/>
      <c r="O47" s="146"/>
      <c r="Q47" s="145" t="s">
        <v>167</v>
      </c>
      <c r="R47" s="146"/>
      <c r="S47" s="146"/>
      <c r="U47" s="145" t="s">
        <v>167</v>
      </c>
      <c r="V47" s="146"/>
      <c r="W47" s="146"/>
      <c r="Y47" s="145" t="s">
        <v>167</v>
      </c>
      <c r="Z47" s="146"/>
      <c r="AA47" s="146"/>
      <c r="AC47" s="145" t="s">
        <v>167</v>
      </c>
      <c r="AD47" s="146"/>
      <c r="AE47" s="146"/>
      <c r="AG47" s="145" t="s">
        <v>167</v>
      </c>
      <c r="AH47" s="146"/>
      <c r="AI47" s="146"/>
      <c r="AK47" s="145" t="s">
        <v>167</v>
      </c>
      <c r="AL47" s="146"/>
      <c r="AM47" s="146"/>
      <c r="AO47" s="145" t="s">
        <v>167</v>
      </c>
      <c r="AP47" s="146"/>
      <c r="AQ47" s="146"/>
      <c r="AS47" s="145" t="s">
        <v>167</v>
      </c>
      <c r="AT47" s="146"/>
      <c r="AU47" s="146"/>
      <c r="AW47" s="145" t="s">
        <v>167</v>
      </c>
      <c r="AX47" s="146"/>
      <c r="AY47" s="146"/>
      <c r="BA47" s="145" t="s">
        <v>167</v>
      </c>
      <c r="BB47" s="146"/>
      <c r="BC47" s="146"/>
      <c r="BE47" s="145" t="s">
        <v>167</v>
      </c>
      <c r="BF47" s="146"/>
      <c r="BG47" s="146"/>
      <c r="BI47" s="145" t="s">
        <v>167</v>
      </c>
      <c r="BJ47" s="146"/>
      <c r="BK47" s="146"/>
      <c r="BM47" s="145" t="s">
        <v>167</v>
      </c>
      <c r="BN47" s="146"/>
      <c r="BO47" s="146"/>
      <c r="BQ47" s="145" t="s">
        <v>167</v>
      </c>
      <c r="BR47" s="146"/>
      <c r="BS47" s="146"/>
      <c r="BU47" s="145" t="s">
        <v>167</v>
      </c>
      <c r="BV47" s="146"/>
      <c r="BW47" s="146"/>
      <c r="BY47" s="145" t="s">
        <v>167</v>
      </c>
      <c r="BZ47" s="146"/>
      <c r="CA47" s="146"/>
      <c r="CC47" s="145" t="s">
        <v>167</v>
      </c>
      <c r="CD47" s="146"/>
      <c r="CE47" s="146"/>
      <c r="CG47" s="145" t="s">
        <v>167</v>
      </c>
      <c r="CH47" s="146"/>
      <c r="CI47" s="146"/>
    </row>
    <row r="48">
      <c r="A48" s="147"/>
      <c r="B48" s="138"/>
      <c r="C48" s="52"/>
      <c r="E48" s="139"/>
      <c r="F48" s="139"/>
      <c r="G48" s="139"/>
      <c r="I48" s="139"/>
      <c r="J48" s="139"/>
      <c r="K48" s="139"/>
      <c r="M48" s="139"/>
      <c r="N48" s="139"/>
      <c r="O48" s="139"/>
      <c r="Q48" s="139"/>
      <c r="R48" s="139"/>
      <c r="S48" s="139"/>
      <c r="U48" s="139"/>
      <c r="V48" s="139"/>
      <c r="W48" s="139"/>
      <c r="Y48" s="139"/>
      <c r="Z48" s="139"/>
      <c r="AA48" s="139"/>
      <c r="AC48" s="139"/>
      <c r="AD48" s="139"/>
      <c r="AE48" s="139"/>
      <c r="AG48" s="139"/>
      <c r="AH48" s="139"/>
      <c r="AI48" s="139"/>
      <c r="AK48" s="139"/>
      <c r="AL48" s="139"/>
      <c r="AM48" s="139"/>
      <c r="AO48" s="139"/>
      <c r="AP48" s="139"/>
      <c r="AQ48" s="139"/>
      <c r="AS48" s="139"/>
      <c r="AT48" s="139"/>
      <c r="AU48" s="139"/>
      <c r="AW48" s="139"/>
      <c r="AX48" s="139"/>
      <c r="AY48" s="139"/>
      <c r="BA48" s="139"/>
      <c r="BB48" s="139"/>
      <c r="BC48" s="139"/>
      <c r="BE48" s="139"/>
      <c r="BF48" s="139"/>
      <c r="BG48" s="139"/>
      <c r="BI48" s="139"/>
      <c r="BJ48" s="139"/>
      <c r="BK48" s="139"/>
      <c r="BM48" s="139"/>
      <c r="BN48" s="139"/>
      <c r="BO48" s="139"/>
      <c r="BQ48" s="139"/>
      <c r="BR48" s="139"/>
      <c r="BS48" s="139"/>
      <c r="BU48" s="139"/>
      <c r="BV48" s="139"/>
      <c r="BW48" s="139"/>
      <c r="BY48" s="139"/>
      <c r="BZ48" s="139"/>
      <c r="CA48" s="139"/>
      <c r="CC48" s="139"/>
      <c r="CD48" s="139"/>
      <c r="CE48" s="139"/>
      <c r="CG48" s="139"/>
      <c r="CH48" s="139"/>
      <c r="CI48" s="139"/>
    </row>
    <row r="49" ht="13.5" customHeight="1">
      <c r="A49" s="147"/>
      <c r="B49" s="138"/>
      <c r="C49" s="52"/>
      <c r="E49" s="148"/>
      <c r="F49" s="149"/>
      <c r="G49" s="45"/>
      <c r="I49" s="148"/>
      <c r="J49" s="149"/>
      <c r="K49" s="45"/>
      <c r="M49" s="148"/>
      <c r="N49" s="149"/>
      <c r="O49" s="45"/>
      <c r="Q49" s="148"/>
      <c r="R49" s="149"/>
      <c r="S49" s="45"/>
      <c r="U49" s="148"/>
      <c r="V49" s="149"/>
      <c r="W49" s="45"/>
      <c r="Y49" s="148"/>
      <c r="Z49" s="149"/>
      <c r="AA49" s="45"/>
      <c r="AC49" s="148"/>
      <c r="AD49" s="149"/>
      <c r="AE49" s="45"/>
      <c r="AG49" s="148"/>
      <c r="AH49" s="149"/>
      <c r="AI49" s="45"/>
      <c r="AK49" s="148"/>
      <c r="AL49" s="149"/>
      <c r="AM49" s="45"/>
      <c r="AO49" s="148"/>
      <c r="AP49" s="149"/>
      <c r="AQ49" s="45"/>
      <c r="AS49" s="148"/>
      <c r="AT49" s="149"/>
      <c r="AU49" s="45"/>
      <c r="AW49" s="148"/>
      <c r="AX49" s="149"/>
      <c r="AY49" s="45"/>
      <c r="BA49" s="148"/>
      <c r="BB49" s="149"/>
      <c r="BC49" s="45"/>
      <c r="BE49" s="148"/>
      <c r="BF49" s="149"/>
      <c r="BG49" s="45"/>
      <c r="BI49" s="148"/>
      <c r="BJ49" s="149"/>
      <c r="BK49" s="45"/>
      <c r="BM49" s="148"/>
      <c r="BN49" s="149"/>
      <c r="BO49" s="45"/>
      <c r="BQ49" s="148"/>
      <c r="BR49" s="149"/>
      <c r="BS49" s="45"/>
      <c r="BU49" s="148"/>
      <c r="BV49" s="149"/>
      <c r="BW49" s="45"/>
      <c r="BY49" s="148"/>
      <c r="BZ49" s="149"/>
      <c r="CA49" s="45"/>
      <c r="CC49" s="148"/>
      <c r="CD49" s="149"/>
      <c r="CE49" s="45"/>
      <c r="CG49" s="148"/>
      <c r="CH49" s="149"/>
      <c r="CI49" s="45"/>
    </row>
    <row r="50" ht="13.5" customHeight="1">
      <c r="A50" s="147"/>
      <c r="B50" s="140"/>
      <c r="C50" s="57"/>
      <c r="D50" s="56"/>
      <c r="E50" s="138"/>
      <c r="G50" s="52"/>
      <c r="I50" s="138"/>
      <c r="K50" s="52"/>
      <c r="M50" s="138"/>
      <c r="O50" s="52"/>
      <c r="Q50" s="138"/>
      <c r="S50" s="52"/>
      <c r="U50" s="138"/>
      <c r="W50" s="52"/>
      <c r="Y50" s="138"/>
      <c r="AA50" s="52"/>
      <c r="AC50" s="138"/>
      <c r="AE50" s="52"/>
      <c r="AG50" s="138"/>
      <c r="AI50" s="52"/>
      <c r="AK50" s="138"/>
      <c r="AM50" s="52"/>
      <c r="AO50" s="138"/>
      <c r="AQ50" s="52"/>
      <c r="AS50" s="138"/>
      <c r="AU50" s="52"/>
      <c r="AW50" s="138"/>
      <c r="AY50" s="52"/>
      <c r="BA50" s="138"/>
      <c r="BC50" s="52"/>
      <c r="BE50" s="138"/>
      <c r="BG50" s="52"/>
      <c r="BI50" s="138"/>
      <c r="BK50" s="52"/>
      <c r="BM50" s="138"/>
      <c r="BO50" s="52"/>
      <c r="BQ50" s="138"/>
      <c r="BS50" s="52"/>
      <c r="BU50" s="138"/>
      <c r="BW50" s="52"/>
      <c r="BY50" s="138"/>
      <c r="CA50" s="52"/>
      <c r="CC50" s="138"/>
      <c r="CE50" s="52"/>
      <c r="CG50" s="138"/>
      <c r="CI50" s="52"/>
    </row>
    <row r="51" ht="27.75" customHeight="1">
      <c r="A51" s="147"/>
      <c r="B51" s="150" t="s">
        <v>168</v>
      </c>
      <c r="C51" s="151" t="s">
        <v>165</v>
      </c>
      <c r="D51" s="152" t="s">
        <v>164</v>
      </c>
      <c r="E51" s="140"/>
      <c r="F51" s="56"/>
      <c r="G51" s="57"/>
      <c r="I51" s="140"/>
      <c r="J51" s="56"/>
      <c r="K51" s="57"/>
      <c r="M51" s="140"/>
      <c r="N51" s="56"/>
      <c r="O51" s="57"/>
      <c r="Q51" s="140"/>
      <c r="R51" s="56"/>
      <c r="S51" s="57"/>
      <c r="U51" s="140"/>
      <c r="V51" s="56"/>
      <c r="W51" s="57"/>
      <c r="Y51" s="140"/>
      <c r="Z51" s="56"/>
      <c r="AA51" s="57"/>
      <c r="AC51" s="140"/>
      <c r="AD51" s="56"/>
      <c r="AE51" s="57"/>
      <c r="AG51" s="140"/>
      <c r="AH51" s="56"/>
      <c r="AI51" s="57"/>
      <c r="AK51" s="140"/>
      <c r="AL51" s="56"/>
      <c r="AM51" s="57"/>
      <c r="AO51" s="140"/>
      <c r="AP51" s="56"/>
      <c r="AQ51" s="57"/>
      <c r="AS51" s="140"/>
      <c r="AT51" s="56"/>
      <c r="AU51" s="57"/>
      <c r="AW51" s="140"/>
      <c r="AX51" s="56"/>
      <c r="AY51" s="57"/>
      <c r="BA51" s="140"/>
      <c r="BB51" s="56"/>
      <c r="BC51" s="57"/>
      <c r="BE51" s="140"/>
      <c r="BF51" s="56"/>
      <c r="BG51" s="57"/>
      <c r="BI51" s="140"/>
      <c r="BJ51" s="56"/>
      <c r="BK51" s="57"/>
      <c r="BM51" s="140"/>
      <c r="BN51" s="56"/>
      <c r="BO51" s="57"/>
      <c r="BQ51" s="140"/>
      <c r="BR51" s="56"/>
      <c r="BS51" s="57"/>
      <c r="BU51" s="140"/>
      <c r="BV51" s="56"/>
      <c r="BW51" s="57"/>
      <c r="BY51" s="140"/>
      <c r="BZ51" s="56"/>
      <c r="CA51" s="57"/>
      <c r="CC51" s="140"/>
      <c r="CD51" s="56"/>
      <c r="CE51" s="57"/>
      <c r="CG51" s="140"/>
      <c r="CH51" s="56"/>
      <c r="CI51" s="57"/>
    </row>
    <row r="52" ht="23.25" customHeight="1">
      <c r="A52" s="139"/>
      <c r="B52" s="161">
        <v>3.0</v>
      </c>
      <c r="C52" s="164" t="s">
        <v>169</v>
      </c>
      <c r="D52" s="155" t="s">
        <v>176</v>
      </c>
      <c r="E52" s="156" t="s">
        <v>171</v>
      </c>
      <c r="F52" s="38"/>
      <c r="G52" s="157"/>
      <c r="I52" s="156" t="s">
        <v>171</v>
      </c>
      <c r="J52" s="38"/>
      <c r="K52" s="157"/>
      <c r="M52" s="156" t="s">
        <v>171</v>
      </c>
      <c r="N52" s="38"/>
      <c r="O52" s="157"/>
      <c r="Q52" s="156" t="s">
        <v>171</v>
      </c>
      <c r="R52" s="38"/>
      <c r="S52" s="157"/>
      <c r="U52" s="156" t="s">
        <v>171</v>
      </c>
      <c r="V52" s="38"/>
      <c r="W52" s="157"/>
      <c r="Y52" s="156" t="s">
        <v>171</v>
      </c>
      <c r="Z52" s="38"/>
      <c r="AA52" s="157"/>
      <c r="AC52" s="156" t="s">
        <v>171</v>
      </c>
      <c r="AD52" s="38"/>
      <c r="AE52" s="157"/>
      <c r="AG52" s="156" t="s">
        <v>171</v>
      </c>
      <c r="AH52" s="38"/>
      <c r="AI52" s="157"/>
      <c r="AK52" s="156" t="s">
        <v>171</v>
      </c>
      <c r="AL52" s="38"/>
      <c r="AM52" s="157"/>
      <c r="AO52" s="156" t="s">
        <v>171</v>
      </c>
      <c r="AP52" s="38"/>
      <c r="AQ52" s="157"/>
      <c r="AS52" s="156" t="s">
        <v>171</v>
      </c>
      <c r="AT52" s="38"/>
      <c r="AU52" s="157"/>
      <c r="AW52" s="156" t="s">
        <v>171</v>
      </c>
      <c r="AX52" s="38"/>
      <c r="AY52" s="157"/>
      <c r="BA52" s="156" t="s">
        <v>171</v>
      </c>
      <c r="BB52" s="38"/>
      <c r="BC52" s="157"/>
      <c r="BE52" s="156" t="s">
        <v>171</v>
      </c>
      <c r="BF52" s="38"/>
      <c r="BG52" s="157"/>
      <c r="BI52" s="156" t="s">
        <v>171</v>
      </c>
      <c r="BJ52" s="38"/>
      <c r="BK52" s="157"/>
      <c r="BM52" s="156" t="s">
        <v>171</v>
      </c>
      <c r="BN52" s="38"/>
      <c r="BO52" s="157"/>
      <c r="BQ52" s="156" t="s">
        <v>171</v>
      </c>
      <c r="BR52" s="38"/>
      <c r="BS52" s="157"/>
      <c r="BU52" s="156" t="s">
        <v>171</v>
      </c>
      <c r="BV52" s="38"/>
      <c r="BW52" s="157"/>
      <c r="BY52" s="156" t="s">
        <v>171</v>
      </c>
      <c r="BZ52" s="38"/>
      <c r="CA52" s="157"/>
      <c r="CC52" s="156" t="s">
        <v>171</v>
      </c>
      <c r="CD52" s="38"/>
      <c r="CE52" s="157"/>
      <c r="CG52" s="156" t="s">
        <v>171</v>
      </c>
      <c r="CH52" s="38"/>
      <c r="CI52" s="157"/>
    </row>
    <row r="53" ht="11.25" customHeight="1">
      <c r="A53" s="166"/>
      <c r="E53" s="137"/>
      <c r="I53" s="137"/>
      <c r="M53" s="137"/>
      <c r="Q53" s="137"/>
      <c r="U53" s="137"/>
      <c r="Y53" s="137"/>
      <c r="AC53" s="137"/>
      <c r="AG53" s="137"/>
      <c r="AK53" s="137"/>
      <c r="AO53" s="137"/>
      <c r="AS53" s="137"/>
      <c r="AW53" s="137"/>
      <c r="BA53" s="137"/>
      <c r="BE53" s="137"/>
      <c r="BI53" s="137"/>
      <c r="BM53" s="137"/>
      <c r="BQ53" s="137"/>
      <c r="BU53" s="137"/>
      <c r="BY53" s="137"/>
      <c r="CC53" s="137"/>
      <c r="CG53" s="137"/>
    </row>
    <row r="54">
      <c r="A54" s="142" t="b">
        <v>0</v>
      </c>
      <c r="B54" s="165" t="s">
        <v>184</v>
      </c>
      <c r="C54" s="45"/>
      <c r="D54" s="144" t="s">
        <v>38</v>
      </c>
      <c r="E54" s="145" t="s">
        <v>167</v>
      </c>
      <c r="F54" s="146"/>
      <c r="G54" s="146"/>
      <c r="I54" s="145" t="s">
        <v>167</v>
      </c>
      <c r="J54" s="146"/>
      <c r="K54" s="146"/>
      <c r="M54" s="145" t="s">
        <v>167</v>
      </c>
      <c r="N54" s="146"/>
      <c r="O54" s="146"/>
      <c r="Q54" s="145" t="s">
        <v>167</v>
      </c>
      <c r="R54" s="146"/>
      <c r="S54" s="146"/>
      <c r="U54" s="145" t="s">
        <v>167</v>
      </c>
      <c r="V54" s="146"/>
      <c r="W54" s="146"/>
      <c r="Y54" s="145" t="s">
        <v>167</v>
      </c>
      <c r="Z54" s="146"/>
      <c r="AA54" s="146"/>
      <c r="AC54" s="145" t="s">
        <v>167</v>
      </c>
      <c r="AD54" s="146"/>
      <c r="AE54" s="146"/>
      <c r="AG54" s="145" t="s">
        <v>167</v>
      </c>
      <c r="AH54" s="146"/>
      <c r="AI54" s="146"/>
      <c r="AK54" s="145" t="s">
        <v>167</v>
      </c>
      <c r="AL54" s="146"/>
      <c r="AM54" s="146"/>
      <c r="AO54" s="145" t="s">
        <v>167</v>
      </c>
      <c r="AP54" s="146"/>
      <c r="AQ54" s="146"/>
      <c r="AS54" s="145" t="s">
        <v>167</v>
      </c>
      <c r="AT54" s="146"/>
      <c r="AU54" s="146"/>
      <c r="AW54" s="145" t="s">
        <v>167</v>
      </c>
      <c r="AX54" s="146"/>
      <c r="AY54" s="146"/>
      <c r="BA54" s="145" t="s">
        <v>167</v>
      </c>
      <c r="BB54" s="146"/>
      <c r="BC54" s="146"/>
      <c r="BE54" s="145" t="s">
        <v>167</v>
      </c>
      <c r="BF54" s="146"/>
      <c r="BG54" s="146"/>
      <c r="BI54" s="145" t="s">
        <v>167</v>
      </c>
      <c r="BJ54" s="146"/>
      <c r="BK54" s="146"/>
      <c r="BM54" s="145" t="s">
        <v>167</v>
      </c>
      <c r="BN54" s="146"/>
      <c r="BO54" s="146"/>
      <c r="BQ54" s="145" t="s">
        <v>167</v>
      </c>
      <c r="BR54" s="146"/>
      <c r="BS54" s="146"/>
      <c r="BU54" s="145" t="s">
        <v>167</v>
      </c>
      <c r="BV54" s="146"/>
      <c r="BW54" s="146"/>
      <c r="BY54" s="145" t="s">
        <v>167</v>
      </c>
      <c r="BZ54" s="146"/>
      <c r="CA54" s="146"/>
      <c r="CC54" s="145" t="s">
        <v>167</v>
      </c>
      <c r="CD54" s="146"/>
      <c r="CE54" s="146"/>
      <c r="CG54" s="145" t="s">
        <v>167</v>
      </c>
      <c r="CH54" s="146"/>
      <c r="CI54" s="146"/>
    </row>
    <row r="55">
      <c r="A55" s="147"/>
      <c r="B55" s="138"/>
      <c r="C55" s="52"/>
      <c r="D55" s="138"/>
      <c r="E55" s="139"/>
      <c r="F55" s="139"/>
      <c r="G55" s="139"/>
      <c r="I55" s="139"/>
      <c r="J55" s="139"/>
      <c r="K55" s="139"/>
      <c r="M55" s="139"/>
      <c r="N55" s="139"/>
      <c r="O55" s="139"/>
      <c r="Q55" s="139"/>
      <c r="R55" s="139"/>
      <c r="S55" s="139"/>
      <c r="U55" s="139"/>
      <c r="V55" s="139"/>
      <c r="W55" s="139"/>
      <c r="Y55" s="139"/>
      <c r="Z55" s="139"/>
      <c r="AA55" s="139"/>
      <c r="AC55" s="139"/>
      <c r="AD55" s="139"/>
      <c r="AE55" s="139"/>
      <c r="AG55" s="139"/>
      <c r="AH55" s="139"/>
      <c r="AI55" s="139"/>
      <c r="AK55" s="139"/>
      <c r="AL55" s="139"/>
      <c r="AM55" s="139"/>
      <c r="AO55" s="139"/>
      <c r="AP55" s="139"/>
      <c r="AQ55" s="139"/>
      <c r="AS55" s="139"/>
      <c r="AT55" s="139"/>
      <c r="AU55" s="139"/>
      <c r="AW55" s="139"/>
      <c r="AX55" s="139"/>
      <c r="AY55" s="139"/>
      <c r="BA55" s="139"/>
      <c r="BB55" s="139"/>
      <c r="BC55" s="139"/>
      <c r="BE55" s="139"/>
      <c r="BF55" s="139"/>
      <c r="BG55" s="139"/>
      <c r="BI55" s="139"/>
      <c r="BJ55" s="139"/>
      <c r="BK55" s="139"/>
      <c r="BM55" s="139"/>
      <c r="BN55" s="139"/>
      <c r="BO55" s="139"/>
      <c r="BQ55" s="139"/>
      <c r="BR55" s="139"/>
      <c r="BS55" s="139"/>
      <c r="BU55" s="139"/>
      <c r="BV55" s="139"/>
      <c r="BW55" s="139"/>
      <c r="BY55" s="139"/>
      <c r="BZ55" s="139"/>
      <c r="CA55" s="139"/>
      <c r="CC55" s="139"/>
      <c r="CD55" s="139"/>
      <c r="CE55" s="139"/>
      <c r="CG55" s="139"/>
      <c r="CH55" s="139"/>
      <c r="CI55" s="139"/>
    </row>
    <row r="56" ht="12.0" customHeight="1">
      <c r="A56" s="147"/>
      <c r="B56" s="138"/>
      <c r="C56" s="52"/>
      <c r="D56" s="138"/>
      <c r="E56" s="148"/>
      <c r="F56" s="149"/>
      <c r="G56" s="45"/>
      <c r="I56" s="148"/>
      <c r="J56" s="149"/>
      <c r="K56" s="45"/>
      <c r="M56" s="148"/>
      <c r="N56" s="149"/>
      <c r="O56" s="45"/>
      <c r="Q56" s="148"/>
      <c r="R56" s="149"/>
      <c r="S56" s="45"/>
      <c r="U56" s="148"/>
      <c r="V56" s="149"/>
      <c r="W56" s="45"/>
      <c r="Y56" s="148"/>
      <c r="Z56" s="149"/>
      <c r="AA56" s="45"/>
      <c r="AC56" s="148"/>
      <c r="AD56" s="149"/>
      <c r="AE56" s="45"/>
      <c r="AG56" s="148"/>
      <c r="AH56" s="149"/>
      <c r="AI56" s="45"/>
      <c r="AK56" s="148"/>
      <c r="AL56" s="149"/>
      <c r="AM56" s="45"/>
      <c r="AO56" s="148"/>
      <c r="AP56" s="149"/>
      <c r="AQ56" s="45"/>
      <c r="AS56" s="148"/>
      <c r="AT56" s="149"/>
      <c r="AU56" s="45"/>
      <c r="AW56" s="148"/>
      <c r="AX56" s="149"/>
      <c r="AY56" s="45"/>
      <c r="BA56" s="148"/>
      <c r="BB56" s="149"/>
      <c r="BC56" s="45"/>
      <c r="BE56" s="148"/>
      <c r="BF56" s="149"/>
      <c r="BG56" s="45"/>
      <c r="BI56" s="148"/>
      <c r="BJ56" s="149"/>
      <c r="BK56" s="45"/>
      <c r="BM56" s="148"/>
      <c r="BN56" s="149"/>
      <c r="BO56" s="45"/>
      <c r="BQ56" s="148"/>
      <c r="BR56" s="149"/>
      <c r="BS56" s="45"/>
      <c r="BU56" s="148"/>
      <c r="BV56" s="149"/>
      <c r="BW56" s="45"/>
      <c r="BY56" s="148"/>
      <c r="BZ56" s="149"/>
      <c r="CA56" s="45"/>
      <c r="CC56" s="148"/>
      <c r="CD56" s="149"/>
      <c r="CE56" s="45"/>
      <c r="CG56" s="148"/>
      <c r="CH56" s="149"/>
      <c r="CI56" s="45"/>
    </row>
    <row r="57" ht="12.0" customHeight="1">
      <c r="A57" s="147"/>
      <c r="B57" s="140"/>
      <c r="C57" s="57"/>
      <c r="D57" s="140"/>
      <c r="E57" s="138"/>
      <c r="G57" s="52"/>
      <c r="I57" s="138"/>
      <c r="K57" s="52"/>
      <c r="M57" s="138"/>
      <c r="O57" s="52"/>
      <c r="Q57" s="138"/>
      <c r="S57" s="52"/>
      <c r="U57" s="138"/>
      <c r="W57" s="52"/>
      <c r="Y57" s="138"/>
      <c r="AA57" s="52"/>
      <c r="AC57" s="138"/>
      <c r="AE57" s="52"/>
      <c r="AG57" s="138"/>
      <c r="AI57" s="52"/>
      <c r="AK57" s="138"/>
      <c r="AM57" s="52"/>
      <c r="AO57" s="138"/>
      <c r="AQ57" s="52"/>
      <c r="AS57" s="138"/>
      <c r="AU57" s="52"/>
      <c r="AW57" s="138"/>
      <c r="AY57" s="52"/>
      <c r="BA57" s="138"/>
      <c r="BC57" s="52"/>
      <c r="BE57" s="138"/>
      <c r="BG57" s="52"/>
      <c r="BI57" s="138"/>
      <c r="BK57" s="52"/>
      <c r="BM57" s="138"/>
      <c r="BO57" s="52"/>
      <c r="BQ57" s="138"/>
      <c r="BS57" s="52"/>
      <c r="BU57" s="138"/>
      <c r="BW57" s="52"/>
      <c r="BY57" s="138"/>
      <c r="CA57" s="52"/>
      <c r="CC57" s="138"/>
      <c r="CE57" s="52"/>
      <c r="CG57" s="138"/>
      <c r="CI57" s="52"/>
    </row>
    <row r="58" ht="22.5" customHeight="1">
      <c r="A58" s="147"/>
      <c r="B58" s="150" t="s">
        <v>168</v>
      </c>
      <c r="C58" s="151" t="s">
        <v>165</v>
      </c>
      <c r="D58" s="152" t="s">
        <v>164</v>
      </c>
      <c r="E58" s="140"/>
      <c r="F58" s="56"/>
      <c r="G58" s="57"/>
      <c r="I58" s="140"/>
      <c r="J58" s="56"/>
      <c r="K58" s="57"/>
      <c r="M58" s="140"/>
      <c r="N58" s="56"/>
      <c r="O58" s="57"/>
      <c r="Q58" s="140"/>
      <c r="R58" s="56"/>
      <c r="S58" s="57"/>
      <c r="U58" s="140"/>
      <c r="V58" s="56"/>
      <c r="W58" s="57"/>
      <c r="Y58" s="140"/>
      <c r="Z58" s="56"/>
      <c r="AA58" s="57"/>
      <c r="AC58" s="140"/>
      <c r="AD58" s="56"/>
      <c r="AE58" s="57"/>
      <c r="AG58" s="140"/>
      <c r="AH58" s="56"/>
      <c r="AI58" s="57"/>
      <c r="AK58" s="140"/>
      <c r="AL58" s="56"/>
      <c r="AM58" s="57"/>
      <c r="AO58" s="140"/>
      <c r="AP58" s="56"/>
      <c r="AQ58" s="57"/>
      <c r="AS58" s="140"/>
      <c r="AT58" s="56"/>
      <c r="AU58" s="57"/>
      <c r="AW58" s="140"/>
      <c r="AX58" s="56"/>
      <c r="AY58" s="57"/>
      <c r="BA58" s="140"/>
      <c r="BB58" s="56"/>
      <c r="BC58" s="57"/>
      <c r="BE58" s="140"/>
      <c r="BF58" s="56"/>
      <c r="BG58" s="57"/>
      <c r="BI58" s="140"/>
      <c r="BJ58" s="56"/>
      <c r="BK58" s="57"/>
      <c r="BM58" s="140"/>
      <c r="BN58" s="56"/>
      <c r="BO58" s="57"/>
      <c r="BQ58" s="140"/>
      <c r="BR58" s="56"/>
      <c r="BS58" s="57"/>
      <c r="BU58" s="140"/>
      <c r="BV58" s="56"/>
      <c r="BW58" s="57"/>
      <c r="BY58" s="140"/>
      <c r="BZ58" s="56"/>
      <c r="CA58" s="57"/>
      <c r="CC58" s="140"/>
      <c r="CD58" s="56"/>
      <c r="CE58" s="57"/>
      <c r="CG58" s="140"/>
      <c r="CH58" s="56"/>
      <c r="CI58" s="57"/>
    </row>
    <row r="59" ht="23.25" customHeight="1">
      <c r="A59" s="139"/>
      <c r="B59" s="161">
        <v>3.0</v>
      </c>
      <c r="C59" s="164" t="s">
        <v>169</v>
      </c>
      <c r="D59" s="155" t="s">
        <v>179</v>
      </c>
      <c r="E59" s="156" t="s">
        <v>171</v>
      </c>
      <c r="F59" s="38"/>
      <c r="G59" s="157"/>
      <c r="I59" s="156" t="s">
        <v>171</v>
      </c>
      <c r="J59" s="38"/>
      <c r="K59" s="157"/>
      <c r="M59" s="156" t="s">
        <v>171</v>
      </c>
      <c r="N59" s="38"/>
      <c r="O59" s="157"/>
      <c r="Q59" s="156" t="s">
        <v>171</v>
      </c>
      <c r="R59" s="38"/>
      <c r="S59" s="157"/>
      <c r="U59" s="156" t="s">
        <v>171</v>
      </c>
      <c r="V59" s="38"/>
      <c r="W59" s="157"/>
      <c r="Y59" s="156" t="s">
        <v>171</v>
      </c>
      <c r="Z59" s="38"/>
      <c r="AA59" s="157"/>
      <c r="AC59" s="156" t="s">
        <v>171</v>
      </c>
      <c r="AD59" s="38"/>
      <c r="AE59" s="157"/>
      <c r="AG59" s="156" t="s">
        <v>171</v>
      </c>
      <c r="AH59" s="38"/>
      <c r="AI59" s="157"/>
      <c r="AK59" s="156" t="s">
        <v>171</v>
      </c>
      <c r="AL59" s="38"/>
      <c r="AM59" s="157"/>
      <c r="AO59" s="156" t="s">
        <v>171</v>
      </c>
      <c r="AP59" s="38"/>
      <c r="AQ59" s="157"/>
      <c r="AS59" s="156" t="s">
        <v>171</v>
      </c>
      <c r="AT59" s="38"/>
      <c r="AU59" s="157"/>
      <c r="AW59" s="156" t="s">
        <v>171</v>
      </c>
      <c r="AX59" s="38"/>
      <c r="AY59" s="157"/>
      <c r="BA59" s="156" t="s">
        <v>171</v>
      </c>
      <c r="BB59" s="38"/>
      <c r="BC59" s="157"/>
      <c r="BE59" s="156" t="s">
        <v>171</v>
      </c>
      <c r="BF59" s="38"/>
      <c r="BG59" s="157"/>
      <c r="BI59" s="156" t="s">
        <v>171</v>
      </c>
      <c r="BJ59" s="38"/>
      <c r="BK59" s="157"/>
      <c r="BM59" s="156" t="s">
        <v>171</v>
      </c>
      <c r="BN59" s="38"/>
      <c r="BO59" s="157"/>
      <c r="BQ59" s="156" t="s">
        <v>171</v>
      </c>
      <c r="BR59" s="38"/>
      <c r="BS59" s="157"/>
      <c r="BU59" s="156" t="s">
        <v>171</v>
      </c>
      <c r="BV59" s="38"/>
      <c r="BW59" s="157"/>
      <c r="BY59" s="156" t="s">
        <v>171</v>
      </c>
      <c r="BZ59" s="38"/>
      <c r="CA59" s="157"/>
      <c r="CC59" s="156" t="s">
        <v>171</v>
      </c>
      <c r="CD59" s="38"/>
      <c r="CE59" s="157"/>
      <c r="CG59" s="156" t="s">
        <v>171</v>
      </c>
      <c r="CH59" s="38"/>
      <c r="CI59" s="157"/>
    </row>
    <row r="60" ht="9.75" customHeight="1">
      <c r="A60" s="166"/>
      <c r="E60" s="137"/>
      <c r="I60" s="137"/>
      <c r="M60" s="137"/>
      <c r="Q60" s="137"/>
      <c r="U60" s="137"/>
      <c r="Y60" s="137"/>
      <c r="AC60" s="137"/>
      <c r="AG60" s="137"/>
      <c r="AK60" s="137"/>
      <c r="AO60" s="137"/>
      <c r="AS60" s="137"/>
      <c r="AW60" s="137"/>
      <c r="BA60" s="137"/>
      <c r="BE60" s="137"/>
      <c r="BI60" s="137"/>
      <c r="BM60" s="137"/>
      <c r="BQ60" s="137"/>
      <c r="BU60" s="137"/>
      <c r="BY60" s="137"/>
      <c r="CC60" s="137"/>
      <c r="CG60" s="137"/>
    </row>
    <row r="61">
      <c r="A61" s="142" t="b">
        <v>0</v>
      </c>
      <c r="B61" s="143" t="s">
        <v>185</v>
      </c>
      <c r="C61" s="45"/>
      <c r="D61" s="163" t="s">
        <v>38</v>
      </c>
      <c r="E61" s="145" t="s">
        <v>167</v>
      </c>
      <c r="F61" s="146"/>
      <c r="G61" s="146"/>
      <c r="I61" s="145" t="s">
        <v>167</v>
      </c>
      <c r="J61" s="146"/>
      <c r="K61" s="146"/>
      <c r="M61" s="145" t="s">
        <v>167</v>
      </c>
      <c r="N61" s="146"/>
      <c r="O61" s="146"/>
      <c r="Q61" s="145" t="s">
        <v>167</v>
      </c>
      <c r="R61" s="146"/>
      <c r="S61" s="146"/>
      <c r="U61" s="145" t="s">
        <v>167</v>
      </c>
      <c r="V61" s="146"/>
      <c r="W61" s="146"/>
      <c r="Y61" s="145" t="s">
        <v>167</v>
      </c>
      <c r="Z61" s="146"/>
      <c r="AA61" s="146"/>
      <c r="AC61" s="145" t="s">
        <v>167</v>
      </c>
      <c r="AD61" s="146"/>
      <c r="AE61" s="146"/>
      <c r="AG61" s="145" t="s">
        <v>167</v>
      </c>
      <c r="AH61" s="146"/>
      <c r="AI61" s="146"/>
      <c r="AK61" s="145" t="s">
        <v>167</v>
      </c>
      <c r="AL61" s="146"/>
      <c r="AM61" s="146"/>
      <c r="AO61" s="145" t="s">
        <v>167</v>
      </c>
      <c r="AP61" s="146"/>
      <c r="AQ61" s="146"/>
      <c r="AS61" s="145" t="s">
        <v>167</v>
      </c>
      <c r="AT61" s="146"/>
      <c r="AU61" s="146"/>
      <c r="AW61" s="145" t="s">
        <v>167</v>
      </c>
      <c r="AX61" s="146"/>
      <c r="AY61" s="146"/>
      <c r="BA61" s="145" t="s">
        <v>167</v>
      </c>
      <c r="BB61" s="146"/>
      <c r="BC61" s="146"/>
      <c r="BE61" s="145" t="s">
        <v>167</v>
      </c>
      <c r="BF61" s="146"/>
      <c r="BG61" s="146"/>
      <c r="BI61" s="145" t="s">
        <v>167</v>
      </c>
      <c r="BJ61" s="146"/>
      <c r="BK61" s="146"/>
      <c r="BM61" s="145" t="s">
        <v>167</v>
      </c>
      <c r="BN61" s="146"/>
      <c r="BO61" s="146"/>
      <c r="BQ61" s="145" t="s">
        <v>167</v>
      </c>
      <c r="BR61" s="146"/>
      <c r="BS61" s="146"/>
      <c r="BU61" s="145" t="s">
        <v>167</v>
      </c>
      <c r="BV61" s="146"/>
      <c r="BW61" s="146"/>
      <c r="BY61" s="145" t="s">
        <v>167</v>
      </c>
      <c r="BZ61" s="146"/>
      <c r="CA61" s="146"/>
      <c r="CC61" s="145" t="s">
        <v>167</v>
      </c>
      <c r="CD61" s="146"/>
      <c r="CE61" s="146"/>
      <c r="CG61" s="145" t="s">
        <v>167</v>
      </c>
      <c r="CH61" s="146"/>
      <c r="CI61" s="146"/>
    </row>
    <row r="62">
      <c r="A62" s="147"/>
      <c r="B62" s="138"/>
      <c r="C62" s="52"/>
      <c r="E62" s="139"/>
      <c r="F62" s="139"/>
      <c r="G62" s="139"/>
      <c r="I62" s="139"/>
      <c r="J62" s="139"/>
      <c r="K62" s="139"/>
      <c r="M62" s="139"/>
      <c r="N62" s="139"/>
      <c r="O62" s="139"/>
      <c r="Q62" s="139"/>
      <c r="R62" s="139"/>
      <c r="S62" s="139"/>
      <c r="U62" s="139"/>
      <c r="V62" s="139"/>
      <c r="W62" s="139"/>
      <c r="Y62" s="139"/>
      <c r="Z62" s="139"/>
      <c r="AA62" s="139"/>
      <c r="AC62" s="139"/>
      <c r="AD62" s="139"/>
      <c r="AE62" s="139"/>
      <c r="AG62" s="139"/>
      <c r="AH62" s="139"/>
      <c r="AI62" s="139"/>
      <c r="AK62" s="139"/>
      <c r="AL62" s="139"/>
      <c r="AM62" s="139"/>
      <c r="AO62" s="139"/>
      <c r="AP62" s="139"/>
      <c r="AQ62" s="139"/>
      <c r="AS62" s="139"/>
      <c r="AT62" s="139"/>
      <c r="AU62" s="139"/>
      <c r="AW62" s="139"/>
      <c r="AX62" s="139"/>
      <c r="AY62" s="139"/>
      <c r="BA62" s="139"/>
      <c r="BB62" s="139"/>
      <c r="BC62" s="139"/>
      <c r="BE62" s="139"/>
      <c r="BF62" s="139"/>
      <c r="BG62" s="139"/>
      <c r="BI62" s="139"/>
      <c r="BJ62" s="139"/>
      <c r="BK62" s="139"/>
      <c r="BM62" s="139"/>
      <c r="BN62" s="139"/>
      <c r="BO62" s="139"/>
      <c r="BQ62" s="139"/>
      <c r="BR62" s="139"/>
      <c r="BS62" s="139"/>
      <c r="BU62" s="139"/>
      <c r="BV62" s="139"/>
      <c r="BW62" s="139"/>
      <c r="BY62" s="139"/>
      <c r="BZ62" s="139"/>
      <c r="CA62" s="139"/>
      <c r="CC62" s="139"/>
      <c r="CD62" s="139"/>
      <c r="CE62" s="139"/>
      <c r="CG62" s="139"/>
      <c r="CH62" s="139"/>
      <c r="CI62" s="139"/>
    </row>
    <row r="63" ht="15.0" customHeight="1">
      <c r="A63" s="147"/>
      <c r="B63" s="138"/>
      <c r="C63" s="52"/>
      <c r="E63" s="148"/>
      <c r="F63" s="149"/>
      <c r="G63" s="45"/>
      <c r="I63" s="148"/>
      <c r="J63" s="149"/>
      <c r="K63" s="45"/>
      <c r="M63" s="148"/>
      <c r="N63" s="149"/>
      <c r="O63" s="45"/>
      <c r="Q63" s="148"/>
      <c r="R63" s="149"/>
      <c r="S63" s="45"/>
      <c r="U63" s="148"/>
      <c r="V63" s="149"/>
      <c r="W63" s="45"/>
      <c r="Y63" s="148"/>
      <c r="Z63" s="149"/>
      <c r="AA63" s="45"/>
      <c r="AC63" s="148"/>
      <c r="AD63" s="149"/>
      <c r="AE63" s="45"/>
      <c r="AG63" s="148"/>
      <c r="AH63" s="149"/>
      <c r="AI63" s="45"/>
      <c r="AK63" s="148"/>
      <c r="AL63" s="149"/>
      <c r="AM63" s="45"/>
      <c r="AO63" s="148"/>
      <c r="AP63" s="149"/>
      <c r="AQ63" s="45"/>
      <c r="AS63" s="148"/>
      <c r="AT63" s="149"/>
      <c r="AU63" s="45"/>
      <c r="AW63" s="148"/>
      <c r="AX63" s="149"/>
      <c r="AY63" s="45"/>
      <c r="BA63" s="148"/>
      <c r="BB63" s="149"/>
      <c r="BC63" s="45"/>
      <c r="BE63" s="148"/>
      <c r="BF63" s="149"/>
      <c r="BG63" s="45"/>
      <c r="BI63" s="148"/>
      <c r="BJ63" s="149"/>
      <c r="BK63" s="45"/>
      <c r="BM63" s="148"/>
      <c r="BN63" s="149"/>
      <c r="BO63" s="45"/>
      <c r="BQ63" s="148"/>
      <c r="BR63" s="149"/>
      <c r="BS63" s="45"/>
      <c r="BU63" s="148"/>
      <c r="BV63" s="149"/>
      <c r="BW63" s="45"/>
      <c r="BY63" s="148"/>
      <c r="BZ63" s="149"/>
      <c r="CA63" s="45"/>
      <c r="CC63" s="148"/>
      <c r="CD63" s="149"/>
      <c r="CE63" s="45"/>
      <c r="CG63" s="148"/>
      <c r="CH63" s="149"/>
      <c r="CI63" s="45"/>
    </row>
    <row r="64" ht="15.0" customHeight="1">
      <c r="A64" s="147"/>
      <c r="B64" s="140"/>
      <c r="C64" s="57"/>
      <c r="D64" s="56"/>
      <c r="E64" s="138"/>
      <c r="G64" s="52"/>
      <c r="I64" s="138"/>
      <c r="K64" s="52"/>
      <c r="M64" s="138"/>
      <c r="O64" s="52"/>
      <c r="Q64" s="138"/>
      <c r="S64" s="52"/>
      <c r="U64" s="138"/>
      <c r="W64" s="52"/>
      <c r="Y64" s="138"/>
      <c r="AA64" s="52"/>
      <c r="AC64" s="138"/>
      <c r="AE64" s="52"/>
      <c r="AG64" s="138"/>
      <c r="AI64" s="52"/>
      <c r="AK64" s="138"/>
      <c r="AM64" s="52"/>
      <c r="AO64" s="138"/>
      <c r="AQ64" s="52"/>
      <c r="AS64" s="138"/>
      <c r="AU64" s="52"/>
      <c r="AW64" s="138"/>
      <c r="AY64" s="52"/>
      <c r="BA64" s="138"/>
      <c r="BC64" s="52"/>
      <c r="BE64" s="138"/>
      <c r="BG64" s="52"/>
      <c r="BI64" s="138"/>
      <c r="BK64" s="52"/>
      <c r="BM64" s="138"/>
      <c r="BO64" s="52"/>
      <c r="BQ64" s="138"/>
      <c r="BS64" s="52"/>
      <c r="BU64" s="138"/>
      <c r="BW64" s="52"/>
      <c r="BY64" s="138"/>
      <c r="CA64" s="52"/>
      <c r="CC64" s="138"/>
      <c r="CE64" s="52"/>
      <c r="CG64" s="138"/>
      <c r="CI64" s="52"/>
    </row>
    <row r="65" ht="24.75" customHeight="1">
      <c r="A65" s="147"/>
      <c r="B65" s="150" t="s">
        <v>168</v>
      </c>
      <c r="C65" s="151" t="s">
        <v>165</v>
      </c>
      <c r="D65" s="152" t="s">
        <v>164</v>
      </c>
      <c r="E65" s="140"/>
      <c r="F65" s="56"/>
      <c r="G65" s="57"/>
      <c r="I65" s="140"/>
      <c r="J65" s="56"/>
      <c r="K65" s="57"/>
      <c r="M65" s="140"/>
      <c r="N65" s="56"/>
      <c r="O65" s="57"/>
      <c r="Q65" s="140"/>
      <c r="R65" s="56"/>
      <c r="S65" s="57"/>
      <c r="U65" s="140"/>
      <c r="V65" s="56"/>
      <c r="W65" s="57"/>
      <c r="Y65" s="140"/>
      <c r="Z65" s="56"/>
      <c r="AA65" s="57"/>
      <c r="AC65" s="140"/>
      <c r="AD65" s="56"/>
      <c r="AE65" s="57"/>
      <c r="AG65" s="140"/>
      <c r="AH65" s="56"/>
      <c r="AI65" s="57"/>
      <c r="AK65" s="140"/>
      <c r="AL65" s="56"/>
      <c r="AM65" s="57"/>
      <c r="AO65" s="140"/>
      <c r="AP65" s="56"/>
      <c r="AQ65" s="57"/>
      <c r="AS65" s="140"/>
      <c r="AT65" s="56"/>
      <c r="AU65" s="57"/>
      <c r="AW65" s="140"/>
      <c r="AX65" s="56"/>
      <c r="AY65" s="57"/>
      <c r="BA65" s="140"/>
      <c r="BB65" s="56"/>
      <c r="BC65" s="57"/>
      <c r="BE65" s="140"/>
      <c r="BF65" s="56"/>
      <c r="BG65" s="57"/>
      <c r="BI65" s="140"/>
      <c r="BJ65" s="56"/>
      <c r="BK65" s="57"/>
      <c r="BM65" s="140"/>
      <c r="BN65" s="56"/>
      <c r="BO65" s="57"/>
      <c r="BQ65" s="140"/>
      <c r="BR65" s="56"/>
      <c r="BS65" s="57"/>
      <c r="BU65" s="140"/>
      <c r="BV65" s="56"/>
      <c r="BW65" s="57"/>
      <c r="BY65" s="140"/>
      <c r="BZ65" s="56"/>
      <c r="CA65" s="57"/>
      <c r="CC65" s="140"/>
      <c r="CD65" s="56"/>
      <c r="CE65" s="57"/>
      <c r="CG65" s="140"/>
      <c r="CH65" s="56"/>
      <c r="CI65" s="57"/>
    </row>
    <row r="66" ht="22.5" customHeight="1">
      <c r="A66" s="139"/>
      <c r="B66" s="161">
        <v>3.0</v>
      </c>
      <c r="C66" s="164" t="s">
        <v>169</v>
      </c>
      <c r="D66" s="153" t="s">
        <v>174</v>
      </c>
      <c r="E66" s="156" t="s">
        <v>171</v>
      </c>
      <c r="F66" s="38"/>
      <c r="G66" s="157"/>
      <c r="I66" s="156" t="s">
        <v>171</v>
      </c>
      <c r="J66" s="38"/>
      <c r="K66" s="157"/>
      <c r="M66" s="156" t="s">
        <v>171</v>
      </c>
      <c r="N66" s="38"/>
      <c r="O66" s="157"/>
      <c r="Q66" s="156" t="s">
        <v>171</v>
      </c>
      <c r="R66" s="38"/>
      <c r="S66" s="157"/>
      <c r="U66" s="156" t="s">
        <v>171</v>
      </c>
      <c r="V66" s="38"/>
      <c r="W66" s="157"/>
      <c r="Y66" s="156" t="s">
        <v>171</v>
      </c>
      <c r="Z66" s="38"/>
      <c r="AA66" s="157"/>
      <c r="AC66" s="156" t="s">
        <v>171</v>
      </c>
      <c r="AD66" s="38"/>
      <c r="AE66" s="157"/>
      <c r="AG66" s="156" t="s">
        <v>171</v>
      </c>
      <c r="AH66" s="38"/>
      <c r="AI66" s="157"/>
      <c r="AK66" s="156" t="s">
        <v>171</v>
      </c>
      <c r="AL66" s="38"/>
      <c r="AM66" s="157"/>
      <c r="AO66" s="156" t="s">
        <v>171</v>
      </c>
      <c r="AP66" s="38"/>
      <c r="AQ66" s="157"/>
      <c r="AS66" s="156" t="s">
        <v>171</v>
      </c>
      <c r="AT66" s="38"/>
      <c r="AU66" s="157"/>
      <c r="AW66" s="156" t="s">
        <v>171</v>
      </c>
      <c r="AX66" s="38"/>
      <c r="AY66" s="157"/>
      <c r="BA66" s="156" t="s">
        <v>171</v>
      </c>
      <c r="BB66" s="38"/>
      <c r="BC66" s="157"/>
      <c r="BE66" s="156" t="s">
        <v>171</v>
      </c>
      <c r="BF66" s="38"/>
      <c r="BG66" s="157"/>
      <c r="BI66" s="156" t="s">
        <v>171</v>
      </c>
      <c r="BJ66" s="38"/>
      <c r="BK66" s="157"/>
      <c r="BM66" s="156" t="s">
        <v>171</v>
      </c>
      <c r="BN66" s="38"/>
      <c r="BO66" s="157"/>
      <c r="BQ66" s="156" t="s">
        <v>171</v>
      </c>
      <c r="BR66" s="38"/>
      <c r="BS66" s="157"/>
      <c r="BU66" s="156" t="s">
        <v>171</v>
      </c>
      <c r="BV66" s="38"/>
      <c r="BW66" s="157"/>
      <c r="BY66" s="156" t="s">
        <v>171</v>
      </c>
      <c r="BZ66" s="38"/>
      <c r="CA66" s="157"/>
      <c r="CC66" s="156" t="s">
        <v>171</v>
      </c>
      <c r="CD66" s="38"/>
      <c r="CE66" s="157"/>
      <c r="CG66" s="156" t="s">
        <v>171</v>
      </c>
      <c r="CH66" s="38"/>
      <c r="CI66" s="157"/>
    </row>
    <row r="67" ht="10.5" customHeight="1">
      <c r="A67" s="166"/>
      <c r="E67" s="137"/>
      <c r="I67" s="137"/>
      <c r="M67" s="137"/>
      <c r="Q67" s="137"/>
      <c r="U67" s="137"/>
      <c r="Y67" s="137"/>
      <c r="AC67" s="137"/>
      <c r="AG67" s="137"/>
      <c r="AK67" s="137"/>
      <c r="AO67" s="137"/>
      <c r="AS67" s="137"/>
      <c r="AW67" s="137"/>
      <c r="BA67" s="137"/>
      <c r="BE67" s="137"/>
      <c r="BI67" s="137"/>
      <c r="BM67" s="137"/>
      <c r="BQ67" s="137"/>
      <c r="BU67" s="137"/>
      <c r="BY67" s="137"/>
      <c r="CC67" s="137"/>
      <c r="CG67" s="137"/>
    </row>
    <row r="68">
      <c r="A68" s="142" t="b">
        <v>0</v>
      </c>
      <c r="B68" s="165" t="s">
        <v>186</v>
      </c>
      <c r="C68" s="45"/>
      <c r="D68" s="144" t="s">
        <v>38</v>
      </c>
      <c r="E68" s="145" t="s">
        <v>167</v>
      </c>
      <c r="F68" s="146"/>
      <c r="G68" s="146"/>
      <c r="I68" s="145" t="s">
        <v>167</v>
      </c>
      <c r="J68" s="146"/>
      <c r="K68" s="146"/>
      <c r="M68" s="145" t="s">
        <v>167</v>
      </c>
      <c r="N68" s="146"/>
      <c r="O68" s="146"/>
      <c r="Q68" s="145" t="s">
        <v>167</v>
      </c>
      <c r="R68" s="146"/>
      <c r="S68" s="146"/>
      <c r="U68" s="145" t="s">
        <v>167</v>
      </c>
      <c r="V68" s="146"/>
      <c r="W68" s="146"/>
      <c r="Y68" s="145" t="s">
        <v>167</v>
      </c>
      <c r="Z68" s="146"/>
      <c r="AA68" s="146"/>
      <c r="AC68" s="145" t="s">
        <v>167</v>
      </c>
      <c r="AD68" s="146"/>
      <c r="AE68" s="146"/>
      <c r="AG68" s="145" t="s">
        <v>167</v>
      </c>
      <c r="AH68" s="146"/>
      <c r="AI68" s="146"/>
      <c r="AK68" s="145" t="s">
        <v>167</v>
      </c>
      <c r="AL68" s="146"/>
      <c r="AM68" s="146"/>
      <c r="AO68" s="145" t="s">
        <v>167</v>
      </c>
      <c r="AP68" s="146"/>
      <c r="AQ68" s="146"/>
      <c r="AS68" s="145" t="s">
        <v>167</v>
      </c>
      <c r="AT68" s="146"/>
      <c r="AU68" s="146"/>
      <c r="AW68" s="145" t="s">
        <v>167</v>
      </c>
      <c r="AX68" s="146"/>
      <c r="AY68" s="146"/>
      <c r="BA68" s="145" t="s">
        <v>167</v>
      </c>
      <c r="BB68" s="146"/>
      <c r="BC68" s="146"/>
      <c r="BE68" s="145" t="s">
        <v>167</v>
      </c>
      <c r="BF68" s="146"/>
      <c r="BG68" s="146"/>
      <c r="BI68" s="145" t="s">
        <v>167</v>
      </c>
      <c r="BJ68" s="146"/>
      <c r="BK68" s="146"/>
      <c r="BM68" s="145" t="s">
        <v>167</v>
      </c>
      <c r="BN68" s="146"/>
      <c r="BO68" s="146"/>
      <c r="BQ68" s="145" t="s">
        <v>167</v>
      </c>
      <c r="BR68" s="146"/>
      <c r="BS68" s="146"/>
      <c r="BU68" s="145" t="s">
        <v>167</v>
      </c>
      <c r="BV68" s="146"/>
      <c r="BW68" s="146"/>
      <c r="BY68" s="145" t="s">
        <v>167</v>
      </c>
      <c r="BZ68" s="146"/>
      <c r="CA68" s="146"/>
      <c r="CC68" s="145" t="s">
        <v>167</v>
      </c>
      <c r="CD68" s="146"/>
      <c r="CE68" s="146"/>
      <c r="CG68" s="145" t="s">
        <v>167</v>
      </c>
      <c r="CH68" s="146"/>
      <c r="CI68" s="146"/>
    </row>
    <row r="69">
      <c r="A69" s="147"/>
      <c r="B69" s="138"/>
      <c r="C69" s="52"/>
      <c r="D69" s="138"/>
      <c r="E69" s="139"/>
      <c r="F69" s="139"/>
      <c r="G69" s="139"/>
      <c r="I69" s="139"/>
      <c r="J69" s="139"/>
      <c r="K69" s="139"/>
      <c r="M69" s="139"/>
      <c r="N69" s="139"/>
      <c r="O69" s="139"/>
      <c r="Q69" s="139"/>
      <c r="R69" s="139"/>
      <c r="S69" s="139"/>
      <c r="U69" s="139"/>
      <c r="V69" s="139"/>
      <c r="W69" s="139"/>
      <c r="Y69" s="139"/>
      <c r="Z69" s="139"/>
      <c r="AA69" s="139"/>
      <c r="AC69" s="139"/>
      <c r="AD69" s="139"/>
      <c r="AE69" s="139"/>
      <c r="AG69" s="139"/>
      <c r="AH69" s="139"/>
      <c r="AI69" s="139"/>
      <c r="AK69" s="139"/>
      <c r="AL69" s="139"/>
      <c r="AM69" s="139"/>
      <c r="AO69" s="139"/>
      <c r="AP69" s="139"/>
      <c r="AQ69" s="139"/>
      <c r="AS69" s="139"/>
      <c r="AT69" s="139"/>
      <c r="AU69" s="139"/>
      <c r="AW69" s="139"/>
      <c r="AX69" s="139"/>
      <c r="AY69" s="139"/>
      <c r="BA69" s="139"/>
      <c r="BB69" s="139"/>
      <c r="BC69" s="139"/>
      <c r="BE69" s="139"/>
      <c r="BF69" s="139"/>
      <c r="BG69" s="139"/>
      <c r="BI69" s="139"/>
      <c r="BJ69" s="139"/>
      <c r="BK69" s="139"/>
      <c r="BM69" s="139"/>
      <c r="BN69" s="139"/>
      <c r="BO69" s="139"/>
      <c r="BQ69" s="139"/>
      <c r="BR69" s="139"/>
      <c r="BS69" s="139"/>
      <c r="BU69" s="139"/>
      <c r="BV69" s="139"/>
      <c r="BW69" s="139"/>
      <c r="BY69" s="139"/>
      <c r="BZ69" s="139"/>
      <c r="CA69" s="139"/>
      <c r="CC69" s="139"/>
      <c r="CD69" s="139"/>
      <c r="CE69" s="139"/>
      <c r="CG69" s="139"/>
      <c r="CH69" s="139"/>
      <c r="CI69" s="139"/>
    </row>
    <row r="70" ht="13.5" customHeight="1">
      <c r="A70" s="147"/>
      <c r="B70" s="138"/>
      <c r="C70" s="52"/>
      <c r="D70" s="138"/>
      <c r="E70" s="148"/>
      <c r="F70" s="149"/>
      <c r="G70" s="45"/>
      <c r="I70" s="148"/>
      <c r="J70" s="149"/>
      <c r="K70" s="45"/>
      <c r="M70" s="148"/>
      <c r="N70" s="149"/>
      <c r="O70" s="45"/>
      <c r="Q70" s="148"/>
      <c r="R70" s="149"/>
      <c r="S70" s="45"/>
      <c r="U70" s="148"/>
      <c r="V70" s="149"/>
      <c r="W70" s="45"/>
      <c r="Y70" s="148"/>
      <c r="Z70" s="149"/>
      <c r="AA70" s="45"/>
      <c r="AC70" s="148"/>
      <c r="AD70" s="149"/>
      <c r="AE70" s="45"/>
      <c r="AG70" s="148"/>
      <c r="AH70" s="149"/>
      <c r="AI70" s="45"/>
      <c r="AK70" s="148"/>
      <c r="AL70" s="149"/>
      <c r="AM70" s="45"/>
      <c r="AO70" s="148"/>
      <c r="AP70" s="149"/>
      <c r="AQ70" s="45"/>
      <c r="AS70" s="148"/>
      <c r="AT70" s="149"/>
      <c r="AU70" s="45"/>
      <c r="AW70" s="148"/>
      <c r="AX70" s="149"/>
      <c r="AY70" s="45"/>
      <c r="BA70" s="148"/>
      <c r="BB70" s="149"/>
      <c r="BC70" s="45"/>
      <c r="BE70" s="148"/>
      <c r="BF70" s="149"/>
      <c r="BG70" s="45"/>
      <c r="BI70" s="148"/>
      <c r="BJ70" s="149"/>
      <c r="BK70" s="45"/>
      <c r="BM70" s="148"/>
      <c r="BN70" s="149"/>
      <c r="BO70" s="45"/>
      <c r="BQ70" s="148"/>
      <c r="BR70" s="149"/>
      <c r="BS70" s="45"/>
      <c r="BU70" s="148"/>
      <c r="BV70" s="149"/>
      <c r="BW70" s="45"/>
      <c r="BY70" s="148"/>
      <c r="BZ70" s="149"/>
      <c r="CA70" s="45"/>
      <c r="CC70" s="148"/>
      <c r="CD70" s="149"/>
      <c r="CE70" s="45"/>
      <c r="CG70" s="148"/>
      <c r="CH70" s="149"/>
      <c r="CI70" s="45"/>
    </row>
    <row r="71" ht="13.5" customHeight="1">
      <c r="A71" s="147"/>
      <c r="B71" s="140"/>
      <c r="C71" s="57"/>
      <c r="D71" s="140"/>
      <c r="E71" s="138"/>
      <c r="G71" s="52"/>
      <c r="I71" s="138"/>
      <c r="K71" s="52"/>
      <c r="M71" s="138"/>
      <c r="O71" s="52"/>
      <c r="Q71" s="138"/>
      <c r="S71" s="52"/>
      <c r="U71" s="138"/>
      <c r="W71" s="52"/>
      <c r="Y71" s="138"/>
      <c r="AA71" s="52"/>
      <c r="AC71" s="138"/>
      <c r="AE71" s="52"/>
      <c r="AG71" s="138"/>
      <c r="AI71" s="52"/>
      <c r="AK71" s="138"/>
      <c r="AM71" s="52"/>
      <c r="AO71" s="138"/>
      <c r="AQ71" s="52"/>
      <c r="AS71" s="138"/>
      <c r="AU71" s="52"/>
      <c r="AW71" s="138"/>
      <c r="AY71" s="52"/>
      <c r="BA71" s="138"/>
      <c r="BC71" s="52"/>
      <c r="BE71" s="138"/>
      <c r="BG71" s="52"/>
      <c r="BI71" s="138"/>
      <c r="BK71" s="52"/>
      <c r="BM71" s="138"/>
      <c r="BO71" s="52"/>
      <c r="BQ71" s="138"/>
      <c r="BS71" s="52"/>
      <c r="BU71" s="138"/>
      <c r="BW71" s="52"/>
      <c r="BY71" s="138"/>
      <c r="CA71" s="52"/>
      <c r="CC71" s="138"/>
      <c r="CE71" s="52"/>
      <c r="CG71" s="138"/>
      <c r="CI71" s="52"/>
    </row>
    <row r="72" ht="24.75" customHeight="1">
      <c r="A72" s="147"/>
      <c r="B72" s="150" t="s">
        <v>168</v>
      </c>
      <c r="C72" s="151" t="s">
        <v>165</v>
      </c>
      <c r="D72" s="152" t="s">
        <v>164</v>
      </c>
      <c r="E72" s="140"/>
      <c r="F72" s="56"/>
      <c r="G72" s="57"/>
      <c r="I72" s="140"/>
      <c r="J72" s="56"/>
      <c r="K72" s="57"/>
      <c r="M72" s="140"/>
      <c r="N72" s="56"/>
      <c r="O72" s="57"/>
      <c r="Q72" s="140"/>
      <c r="R72" s="56"/>
      <c r="S72" s="57"/>
      <c r="U72" s="140"/>
      <c r="V72" s="56"/>
      <c r="W72" s="57"/>
      <c r="Y72" s="140"/>
      <c r="Z72" s="56"/>
      <c r="AA72" s="57"/>
      <c r="AC72" s="140"/>
      <c r="AD72" s="56"/>
      <c r="AE72" s="57"/>
      <c r="AG72" s="140"/>
      <c r="AH72" s="56"/>
      <c r="AI72" s="57"/>
      <c r="AK72" s="140"/>
      <c r="AL72" s="56"/>
      <c r="AM72" s="57"/>
      <c r="AO72" s="140"/>
      <c r="AP72" s="56"/>
      <c r="AQ72" s="57"/>
      <c r="AS72" s="140"/>
      <c r="AT72" s="56"/>
      <c r="AU72" s="57"/>
      <c r="AW72" s="140"/>
      <c r="AX72" s="56"/>
      <c r="AY72" s="57"/>
      <c r="BA72" s="140"/>
      <c r="BB72" s="56"/>
      <c r="BC72" s="57"/>
      <c r="BE72" s="140"/>
      <c r="BF72" s="56"/>
      <c r="BG72" s="57"/>
      <c r="BI72" s="140"/>
      <c r="BJ72" s="56"/>
      <c r="BK72" s="57"/>
      <c r="BM72" s="140"/>
      <c r="BN72" s="56"/>
      <c r="BO72" s="57"/>
      <c r="BQ72" s="140"/>
      <c r="BR72" s="56"/>
      <c r="BS72" s="57"/>
      <c r="BU72" s="140"/>
      <c r="BV72" s="56"/>
      <c r="BW72" s="57"/>
      <c r="BY72" s="140"/>
      <c r="BZ72" s="56"/>
      <c r="CA72" s="57"/>
      <c r="CC72" s="140"/>
      <c r="CD72" s="56"/>
      <c r="CE72" s="57"/>
      <c r="CG72" s="140"/>
      <c r="CH72" s="56"/>
      <c r="CI72" s="57"/>
    </row>
    <row r="73" ht="26.25" customHeight="1">
      <c r="A73" s="139"/>
      <c r="B73" s="161">
        <v>3.0</v>
      </c>
      <c r="C73" s="164" t="s">
        <v>169</v>
      </c>
      <c r="D73" s="155" t="s">
        <v>187</v>
      </c>
      <c r="E73" s="156" t="s">
        <v>171</v>
      </c>
      <c r="F73" s="38"/>
      <c r="G73" s="157"/>
      <c r="I73" s="156" t="s">
        <v>171</v>
      </c>
      <c r="J73" s="38"/>
      <c r="K73" s="157"/>
      <c r="M73" s="156" t="s">
        <v>171</v>
      </c>
      <c r="N73" s="38"/>
      <c r="O73" s="157"/>
      <c r="Q73" s="156" t="s">
        <v>171</v>
      </c>
      <c r="R73" s="38"/>
      <c r="S73" s="157"/>
      <c r="U73" s="156" t="s">
        <v>171</v>
      </c>
      <c r="V73" s="38"/>
      <c r="W73" s="157"/>
      <c r="Y73" s="156" t="s">
        <v>171</v>
      </c>
      <c r="Z73" s="38"/>
      <c r="AA73" s="157"/>
      <c r="AC73" s="156" t="s">
        <v>171</v>
      </c>
      <c r="AD73" s="38"/>
      <c r="AE73" s="157"/>
      <c r="AG73" s="156" t="s">
        <v>171</v>
      </c>
      <c r="AH73" s="38"/>
      <c r="AI73" s="157"/>
      <c r="AK73" s="156" t="s">
        <v>171</v>
      </c>
      <c r="AL73" s="38"/>
      <c r="AM73" s="157"/>
      <c r="AO73" s="156" t="s">
        <v>171</v>
      </c>
      <c r="AP73" s="38"/>
      <c r="AQ73" s="157"/>
      <c r="AS73" s="156" t="s">
        <v>171</v>
      </c>
      <c r="AT73" s="38"/>
      <c r="AU73" s="157"/>
      <c r="AW73" s="156" t="s">
        <v>171</v>
      </c>
      <c r="AX73" s="38"/>
      <c r="AY73" s="157"/>
      <c r="BA73" s="156" t="s">
        <v>171</v>
      </c>
      <c r="BB73" s="38"/>
      <c r="BC73" s="157"/>
      <c r="BE73" s="156" t="s">
        <v>171</v>
      </c>
      <c r="BF73" s="38"/>
      <c r="BG73" s="157"/>
      <c r="BI73" s="156" t="s">
        <v>171</v>
      </c>
      <c r="BJ73" s="38"/>
      <c r="BK73" s="157"/>
      <c r="BM73" s="156" t="s">
        <v>171</v>
      </c>
      <c r="BN73" s="38"/>
      <c r="BO73" s="157"/>
      <c r="BQ73" s="156" t="s">
        <v>171</v>
      </c>
      <c r="BR73" s="38"/>
      <c r="BS73" s="157"/>
      <c r="BU73" s="156" t="s">
        <v>171</v>
      </c>
      <c r="BV73" s="38"/>
      <c r="BW73" s="157"/>
      <c r="BY73" s="156" t="s">
        <v>171</v>
      </c>
      <c r="BZ73" s="38"/>
      <c r="CA73" s="157"/>
      <c r="CC73" s="156" t="s">
        <v>171</v>
      </c>
      <c r="CD73" s="38"/>
      <c r="CE73" s="157"/>
      <c r="CG73" s="156" t="s">
        <v>171</v>
      </c>
      <c r="CH73" s="38"/>
      <c r="CI73" s="157"/>
    </row>
    <row r="74" ht="12.0" customHeight="1">
      <c r="A74" s="166"/>
      <c r="E74" s="137"/>
      <c r="I74" s="137"/>
      <c r="M74" s="137"/>
      <c r="Q74" s="137"/>
      <c r="U74" s="137"/>
      <c r="Y74" s="137"/>
      <c r="AC74" s="137"/>
      <c r="AG74" s="137"/>
      <c r="AK74" s="137"/>
      <c r="AO74" s="137"/>
      <c r="AS74" s="137"/>
      <c r="AW74" s="137"/>
      <c r="BA74" s="137"/>
      <c r="BE74" s="137"/>
      <c r="BI74" s="137"/>
      <c r="BM74" s="137"/>
      <c r="BQ74" s="137"/>
      <c r="BU74" s="137"/>
      <c r="BY74" s="137"/>
      <c r="CC74" s="137"/>
      <c r="CG74" s="137"/>
    </row>
    <row r="75">
      <c r="A75" s="142" t="b">
        <v>0</v>
      </c>
      <c r="B75" s="160" t="s">
        <v>188</v>
      </c>
      <c r="C75" s="45"/>
      <c r="D75" s="144" t="s">
        <v>38</v>
      </c>
      <c r="E75" s="145" t="s">
        <v>167</v>
      </c>
      <c r="F75" s="146"/>
      <c r="G75" s="146"/>
      <c r="I75" s="145" t="s">
        <v>167</v>
      </c>
      <c r="J75" s="146"/>
      <c r="K75" s="146"/>
      <c r="M75" s="145" t="s">
        <v>167</v>
      </c>
      <c r="N75" s="146"/>
      <c r="O75" s="146"/>
      <c r="Q75" s="145" t="s">
        <v>167</v>
      </c>
      <c r="R75" s="146"/>
      <c r="S75" s="146"/>
      <c r="U75" s="145" t="s">
        <v>167</v>
      </c>
      <c r="V75" s="146"/>
      <c r="W75" s="146"/>
      <c r="Y75" s="145" t="s">
        <v>167</v>
      </c>
      <c r="Z75" s="146"/>
      <c r="AA75" s="146"/>
      <c r="AC75" s="145" t="s">
        <v>167</v>
      </c>
      <c r="AD75" s="146"/>
      <c r="AE75" s="146"/>
      <c r="AG75" s="145" t="s">
        <v>167</v>
      </c>
      <c r="AH75" s="146"/>
      <c r="AI75" s="146"/>
      <c r="AK75" s="145" t="s">
        <v>167</v>
      </c>
      <c r="AL75" s="146"/>
      <c r="AM75" s="146"/>
      <c r="AO75" s="145" t="s">
        <v>167</v>
      </c>
      <c r="AP75" s="146"/>
      <c r="AQ75" s="146"/>
      <c r="AS75" s="145" t="s">
        <v>167</v>
      </c>
      <c r="AT75" s="146"/>
      <c r="AU75" s="146"/>
      <c r="AW75" s="145" t="s">
        <v>167</v>
      </c>
      <c r="AX75" s="146"/>
      <c r="AY75" s="146"/>
      <c r="BA75" s="145" t="s">
        <v>167</v>
      </c>
      <c r="BB75" s="146"/>
      <c r="BC75" s="146"/>
      <c r="BE75" s="145" t="s">
        <v>167</v>
      </c>
      <c r="BF75" s="146"/>
      <c r="BG75" s="146"/>
      <c r="BI75" s="145" t="s">
        <v>167</v>
      </c>
      <c r="BJ75" s="146"/>
      <c r="BK75" s="146"/>
      <c r="BM75" s="145" t="s">
        <v>167</v>
      </c>
      <c r="BN75" s="146"/>
      <c r="BO75" s="146"/>
      <c r="BQ75" s="145" t="s">
        <v>167</v>
      </c>
      <c r="BR75" s="146"/>
      <c r="BS75" s="146"/>
      <c r="BU75" s="145" t="s">
        <v>167</v>
      </c>
      <c r="BV75" s="146"/>
      <c r="BW75" s="146"/>
      <c r="BY75" s="145" t="s">
        <v>167</v>
      </c>
      <c r="BZ75" s="146"/>
      <c r="CA75" s="146"/>
      <c r="CC75" s="145" t="s">
        <v>167</v>
      </c>
      <c r="CD75" s="146"/>
      <c r="CE75" s="146"/>
      <c r="CG75" s="145" t="s">
        <v>167</v>
      </c>
      <c r="CH75" s="146"/>
      <c r="CI75" s="146"/>
    </row>
    <row r="76">
      <c r="A76" s="147"/>
      <c r="B76" s="138"/>
      <c r="C76" s="52"/>
      <c r="D76" s="138"/>
      <c r="E76" s="139"/>
      <c r="F76" s="139"/>
      <c r="G76" s="139"/>
      <c r="I76" s="139"/>
      <c r="J76" s="139"/>
      <c r="K76" s="139"/>
      <c r="M76" s="139"/>
      <c r="N76" s="139"/>
      <c r="O76" s="139"/>
      <c r="Q76" s="139"/>
      <c r="R76" s="139"/>
      <c r="S76" s="139"/>
      <c r="U76" s="139"/>
      <c r="V76" s="139"/>
      <c r="W76" s="139"/>
      <c r="Y76" s="139"/>
      <c r="Z76" s="139"/>
      <c r="AA76" s="139"/>
      <c r="AC76" s="139"/>
      <c r="AD76" s="139"/>
      <c r="AE76" s="139"/>
      <c r="AG76" s="139"/>
      <c r="AH76" s="139"/>
      <c r="AI76" s="139"/>
      <c r="AK76" s="139"/>
      <c r="AL76" s="139"/>
      <c r="AM76" s="139"/>
      <c r="AO76" s="139"/>
      <c r="AP76" s="139"/>
      <c r="AQ76" s="139"/>
      <c r="AS76" s="139"/>
      <c r="AT76" s="139"/>
      <c r="AU76" s="139"/>
      <c r="AW76" s="139"/>
      <c r="AX76" s="139"/>
      <c r="AY76" s="139"/>
      <c r="BA76" s="139"/>
      <c r="BB76" s="139"/>
      <c r="BC76" s="139"/>
      <c r="BE76" s="139"/>
      <c r="BF76" s="139"/>
      <c r="BG76" s="139"/>
      <c r="BI76" s="139"/>
      <c r="BJ76" s="139"/>
      <c r="BK76" s="139"/>
      <c r="BM76" s="139"/>
      <c r="BN76" s="139"/>
      <c r="BO76" s="139"/>
      <c r="BQ76" s="139"/>
      <c r="BR76" s="139"/>
      <c r="BS76" s="139"/>
      <c r="BU76" s="139"/>
      <c r="BV76" s="139"/>
      <c r="BW76" s="139"/>
      <c r="BY76" s="139"/>
      <c r="BZ76" s="139"/>
      <c r="CA76" s="139"/>
      <c r="CC76" s="139"/>
      <c r="CD76" s="139"/>
      <c r="CE76" s="139"/>
      <c r="CG76" s="139"/>
      <c r="CH76" s="139"/>
      <c r="CI76" s="139"/>
    </row>
    <row r="77" ht="15.0" customHeight="1">
      <c r="A77" s="147"/>
      <c r="B77" s="138"/>
      <c r="C77" s="52"/>
      <c r="D77" s="138"/>
      <c r="E77" s="148"/>
      <c r="F77" s="149"/>
      <c r="G77" s="45"/>
      <c r="I77" s="148"/>
      <c r="J77" s="149"/>
      <c r="K77" s="45"/>
      <c r="M77" s="148"/>
      <c r="N77" s="149"/>
      <c r="O77" s="45"/>
      <c r="Q77" s="148"/>
      <c r="R77" s="149"/>
      <c r="S77" s="45"/>
      <c r="U77" s="148"/>
      <c r="V77" s="149"/>
      <c r="W77" s="45"/>
      <c r="Y77" s="148"/>
      <c r="Z77" s="149"/>
      <c r="AA77" s="45"/>
      <c r="AC77" s="148"/>
      <c r="AD77" s="149"/>
      <c r="AE77" s="45"/>
      <c r="AG77" s="148"/>
      <c r="AH77" s="149"/>
      <c r="AI77" s="45"/>
      <c r="AK77" s="148"/>
      <c r="AL77" s="149"/>
      <c r="AM77" s="45"/>
      <c r="AO77" s="148"/>
      <c r="AP77" s="149"/>
      <c r="AQ77" s="45"/>
      <c r="AS77" s="148"/>
      <c r="AT77" s="149"/>
      <c r="AU77" s="45"/>
      <c r="AW77" s="148"/>
      <c r="AX77" s="149"/>
      <c r="AY77" s="45"/>
      <c r="BA77" s="148"/>
      <c r="BB77" s="149"/>
      <c r="BC77" s="45"/>
      <c r="BE77" s="148"/>
      <c r="BF77" s="149"/>
      <c r="BG77" s="45"/>
      <c r="BI77" s="148"/>
      <c r="BJ77" s="149"/>
      <c r="BK77" s="45"/>
      <c r="BM77" s="148"/>
      <c r="BN77" s="149"/>
      <c r="BO77" s="45"/>
      <c r="BQ77" s="148"/>
      <c r="BR77" s="149"/>
      <c r="BS77" s="45"/>
      <c r="BU77" s="148"/>
      <c r="BV77" s="149"/>
      <c r="BW77" s="45"/>
      <c r="BY77" s="148"/>
      <c r="BZ77" s="149"/>
      <c r="CA77" s="45"/>
      <c r="CC77" s="148"/>
      <c r="CD77" s="149"/>
      <c r="CE77" s="45"/>
      <c r="CG77" s="148"/>
      <c r="CH77" s="149"/>
      <c r="CI77" s="45"/>
    </row>
    <row r="78" ht="15.0" customHeight="1">
      <c r="A78" s="147"/>
      <c r="B78" s="140"/>
      <c r="C78" s="57"/>
      <c r="D78" s="140"/>
      <c r="E78" s="138"/>
      <c r="G78" s="52"/>
      <c r="I78" s="138"/>
      <c r="K78" s="52"/>
      <c r="M78" s="138"/>
      <c r="O78" s="52"/>
      <c r="Q78" s="138"/>
      <c r="S78" s="52"/>
      <c r="U78" s="138"/>
      <c r="W78" s="52"/>
      <c r="Y78" s="138"/>
      <c r="AA78" s="52"/>
      <c r="AC78" s="138"/>
      <c r="AE78" s="52"/>
      <c r="AG78" s="138"/>
      <c r="AI78" s="52"/>
      <c r="AK78" s="138"/>
      <c r="AM78" s="52"/>
      <c r="AO78" s="138"/>
      <c r="AQ78" s="52"/>
      <c r="AS78" s="138"/>
      <c r="AU78" s="52"/>
      <c r="AW78" s="138"/>
      <c r="AY78" s="52"/>
      <c r="BA78" s="138"/>
      <c r="BC78" s="52"/>
      <c r="BE78" s="138"/>
      <c r="BG78" s="52"/>
      <c r="BI78" s="138"/>
      <c r="BK78" s="52"/>
      <c r="BM78" s="138"/>
      <c r="BO78" s="52"/>
      <c r="BQ78" s="138"/>
      <c r="BS78" s="52"/>
      <c r="BU78" s="138"/>
      <c r="BW78" s="52"/>
      <c r="BY78" s="138"/>
      <c r="CA78" s="52"/>
      <c r="CC78" s="138"/>
      <c r="CE78" s="52"/>
      <c r="CG78" s="138"/>
      <c r="CI78" s="52"/>
    </row>
    <row r="79" ht="24.0" customHeight="1">
      <c r="A79" s="147"/>
      <c r="B79" s="150" t="s">
        <v>168</v>
      </c>
      <c r="C79" s="151" t="s">
        <v>165</v>
      </c>
      <c r="D79" s="152" t="s">
        <v>164</v>
      </c>
      <c r="E79" s="140"/>
      <c r="F79" s="56"/>
      <c r="G79" s="57"/>
      <c r="I79" s="140"/>
      <c r="J79" s="56"/>
      <c r="K79" s="57"/>
      <c r="M79" s="140"/>
      <c r="N79" s="56"/>
      <c r="O79" s="57"/>
      <c r="Q79" s="140"/>
      <c r="R79" s="56"/>
      <c r="S79" s="57"/>
      <c r="U79" s="140"/>
      <c r="V79" s="56"/>
      <c r="W79" s="57"/>
      <c r="Y79" s="140"/>
      <c r="Z79" s="56"/>
      <c r="AA79" s="57"/>
      <c r="AC79" s="140"/>
      <c r="AD79" s="56"/>
      <c r="AE79" s="57"/>
      <c r="AG79" s="140"/>
      <c r="AH79" s="56"/>
      <c r="AI79" s="57"/>
      <c r="AK79" s="140"/>
      <c r="AL79" s="56"/>
      <c r="AM79" s="57"/>
      <c r="AO79" s="140"/>
      <c r="AP79" s="56"/>
      <c r="AQ79" s="57"/>
      <c r="AS79" s="140"/>
      <c r="AT79" s="56"/>
      <c r="AU79" s="57"/>
      <c r="AW79" s="140"/>
      <c r="AX79" s="56"/>
      <c r="AY79" s="57"/>
      <c r="BA79" s="140"/>
      <c r="BB79" s="56"/>
      <c r="BC79" s="57"/>
      <c r="BE79" s="140"/>
      <c r="BF79" s="56"/>
      <c r="BG79" s="57"/>
      <c r="BI79" s="140"/>
      <c r="BJ79" s="56"/>
      <c r="BK79" s="57"/>
      <c r="BM79" s="140"/>
      <c r="BN79" s="56"/>
      <c r="BO79" s="57"/>
      <c r="BQ79" s="140"/>
      <c r="BR79" s="56"/>
      <c r="BS79" s="57"/>
      <c r="BU79" s="140"/>
      <c r="BV79" s="56"/>
      <c r="BW79" s="57"/>
      <c r="BY79" s="140"/>
      <c r="BZ79" s="56"/>
      <c r="CA79" s="57"/>
      <c r="CC79" s="140"/>
      <c r="CD79" s="56"/>
      <c r="CE79" s="57"/>
      <c r="CG79" s="140"/>
      <c r="CH79" s="56"/>
      <c r="CI79" s="57"/>
    </row>
    <row r="80" ht="24.75" customHeight="1">
      <c r="A80" s="139"/>
      <c r="B80" s="153">
        <v>3.0</v>
      </c>
      <c r="C80" s="154" t="s">
        <v>169</v>
      </c>
      <c r="D80" s="155" t="s">
        <v>189</v>
      </c>
      <c r="E80" s="156" t="s">
        <v>171</v>
      </c>
      <c r="F80" s="38"/>
      <c r="G80" s="157"/>
      <c r="I80" s="156" t="s">
        <v>171</v>
      </c>
      <c r="J80" s="38"/>
      <c r="K80" s="157"/>
      <c r="M80" s="156" t="s">
        <v>171</v>
      </c>
      <c r="N80" s="38"/>
      <c r="O80" s="157"/>
      <c r="Q80" s="156" t="s">
        <v>171</v>
      </c>
      <c r="R80" s="38"/>
      <c r="S80" s="157"/>
      <c r="U80" s="156" t="s">
        <v>171</v>
      </c>
      <c r="V80" s="38"/>
      <c r="W80" s="157"/>
      <c r="Y80" s="156" t="s">
        <v>171</v>
      </c>
      <c r="Z80" s="38"/>
      <c r="AA80" s="157"/>
      <c r="AC80" s="156" t="s">
        <v>171</v>
      </c>
      <c r="AD80" s="38"/>
      <c r="AE80" s="157"/>
      <c r="AG80" s="156" t="s">
        <v>171</v>
      </c>
      <c r="AH80" s="38"/>
      <c r="AI80" s="157"/>
      <c r="AK80" s="156" t="s">
        <v>171</v>
      </c>
      <c r="AL80" s="38"/>
      <c r="AM80" s="157"/>
      <c r="AO80" s="156" t="s">
        <v>171</v>
      </c>
      <c r="AP80" s="38"/>
      <c r="AQ80" s="157"/>
      <c r="AS80" s="156" t="s">
        <v>171</v>
      </c>
      <c r="AT80" s="38"/>
      <c r="AU80" s="157"/>
      <c r="AW80" s="156" t="s">
        <v>171</v>
      </c>
      <c r="AX80" s="38"/>
      <c r="AY80" s="157"/>
      <c r="BA80" s="156" t="s">
        <v>171</v>
      </c>
      <c r="BB80" s="38"/>
      <c r="BC80" s="157"/>
      <c r="BE80" s="156" t="s">
        <v>171</v>
      </c>
      <c r="BF80" s="38"/>
      <c r="BG80" s="157"/>
      <c r="BI80" s="156" t="s">
        <v>171</v>
      </c>
      <c r="BJ80" s="38"/>
      <c r="BK80" s="157"/>
      <c r="BM80" s="156" t="s">
        <v>171</v>
      </c>
      <c r="BN80" s="38"/>
      <c r="BO80" s="157"/>
      <c r="BQ80" s="156" t="s">
        <v>171</v>
      </c>
      <c r="BR80" s="38"/>
      <c r="BS80" s="157"/>
      <c r="BU80" s="156" t="s">
        <v>171</v>
      </c>
      <c r="BV80" s="38"/>
      <c r="BW80" s="157"/>
      <c r="BY80" s="156" t="s">
        <v>171</v>
      </c>
      <c r="BZ80" s="38"/>
      <c r="CA80" s="157"/>
      <c r="CC80" s="156" t="s">
        <v>171</v>
      </c>
      <c r="CD80" s="38"/>
      <c r="CE80" s="157"/>
      <c r="CG80" s="156" t="s">
        <v>171</v>
      </c>
      <c r="CH80" s="38"/>
      <c r="CI80" s="157"/>
    </row>
    <row r="81">
      <c r="A81" s="169"/>
      <c r="E81" s="170"/>
      <c r="F81" s="159"/>
      <c r="G81" s="159"/>
      <c r="H81" s="159"/>
      <c r="I81" s="159"/>
      <c r="J81" s="159"/>
      <c r="K81" s="159"/>
      <c r="L81" s="159"/>
      <c r="M81" s="159"/>
      <c r="N81" s="159"/>
      <c r="O81" s="159"/>
      <c r="P81" s="159"/>
      <c r="Q81" s="159"/>
      <c r="R81" s="159"/>
      <c r="S81" s="159"/>
      <c r="T81" s="159"/>
      <c r="U81" s="159"/>
      <c r="V81" s="159"/>
      <c r="W81" s="159"/>
      <c r="X81" s="159"/>
      <c r="Y81" s="159"/>
      <c r="Z81" s="159"/>
      <c r="AA81" s="159"/>
      <c r="AB81" s="159"/>
      <c r="AC81" s="159"/>
      <c r="AD81" s="159"/>
      <c r="AE81" s="159"/>
      <c r="AF81" s="159"/>
      <c r="AG81" s="159"/>
      <c r="AH81" s="159"/>
      <c r="AI81" s="159"/>
      <c r="AJ81" s="159"/>
      <c r="AK81" s="159"/>
      <c r="AL81" s="159"/>
      <c r="AM81" s="159"/>
      <c r="AN81" s="159"/>
      <c r="AO81" s="159"/>
      <c r="AP81" s="159"/>
      <c r="AQ81" s="159"/>
      <c r="AR81" s="159"/>
      <c r="AS81" s="159"/>
      <c r="AT81" s="159"/>
      <c r="AU81" s="159"/>
      <c r="AV81" s="159"/>
      <c r="AW81" s="159"/>
      <c r="AX81" s="159"/>
      <c r="AY81" s="159"/>
      <c r="AZ81" s="159"/>
      <c r="BA81" s="159"/>
      <c r="BB81" s="159"/>
      <c r="BC81" s="159"/>
      <c r="BD81" s="159"/>
      <c r="BE81" s="159"/>
      <c r="BF81" s="159"/>
      <c r="BG81" s="159"/>
      <c r="BH81" s="159"/>
      <c r="BI81" s="159"/>
      <c r="BJ81" s="159"/>
      <c r="BK81" s="159"/>
      <c r="BL81" s="159"/>
      <c r="BM81" s="159"/>
      <c r="BN81" s="159"/>
      <c r="BO81" s="159"/>
      <c r="BP81" s="159"/>
      <c r="BQ81" s="159"/>
      <c r="BR81" s="159"/>
      <c r="BS81" s="159"/>
      <c r="BT81" s="159"/>
      <c r="BU81" s="159"/>
      <c r="BV81" s="159"/>
      <c r="BW81" s="159"/>
      <c r="BX81" s="159"/>
      <c r="BY81" s="159"/>
      <c r="BZ81" s="159"/>
      <c r="CA81" s="159"/>
      <c r="CB81" s="159"/>
      <c r="CC81" s="159"/>
      <c r="CD81" s="159"/>
      <c r="CE81" s="159"/>
      <c r="CF81" s="159"/>
      <c r="CG81" s="159"/>
      <c r="CH81" s="159"/>
      <c r="CI81" s="38"/>
    </row>
    <row r="82">
      <c r="A82" s="130" t="s">
        <v>139</v>
      </c>
      <c r="B82" s="131" t="s">
        <v>190</v>
      </c>
      <c r="C82" s="45"/>
      <c r="D82" s="132" t="s">
        <v>141</v>
      </c>
      <c r="E82" s="133" t="s">
        <v>142</v>
      </c>
      <c r="F82" s="134" t="s">
        <v>143</v>
      </c>
      <c r="G82" s="45"/>
      <c r="H82" s="171"/>
      <c r="I82" s="133" t="s">
        <v>142</v>
      </c>
      <c r="J82" s="134" t="s">
        <v>144</v>
      </c>
      <c r="K82" s="45"/>
      <c r="L82" s="135"/>
      <c r="M82" s="133" t="s">
        <v>142</v>
      </c>
      <c r="N82" s="136" t="s">
        <v>145</v>
      </c>
      <c r="O82" s="45"/>
      <c r="P82" s="137"/>
      <c r="Q82" s="133" t="s">
        <v>142</v>
      </c>
      <c r="R82" s="136" t="s">
        <v>146</v>
      </c>
      <c r="S82" s="45"/>
      <c r="T82" s="137"/>
      <c r="U82" s="133" t="s">
        <v>142</v>
      </c>
      <c r="V82" s="136" t="s">
        <v>147</v>
      </c>
      <c r="W82" s="45"/>
      <c r="X82" s="137"/>
      <c r="Y82" s="133" t="s">
        <v>142</v>
      </c>
      <c r="Z82" s="136" t="s">
        <v>148</v>
      </c>
      <c r="AA82" s="45"/>
      <c r="AB82" s="137"/>
      <c r="AC82" s="133" t="s">
        <v>142</v>
      </c>
      <c r="AD82" s="136" t="s">
        <v>149</v>
      </c>
      <c r="AE82" s="45"/>
      <c r="AF82" s="137"/>
      <c r="AG82" s="133" t="s">
        <v>142</v>
      </c>
      <c r="AH82" s="136" t="s">
        <v>150</v>
      </c>
      <c r="AI82" s="45"/>
      <c r="AJ82" s="137"/>
      <c r="AK82" s="133" t="s">
        <v>142</v>
      </c>
      <c r="AL82" s="136" t="s">
        <v>151</v>
      </c>
      <c r="AM82" s="45"/>
      <c r="AN82" s="137"/>
      <c r="AO82" s="133" t="s">
        <v>142</v>
      </c>
      <c r="AP82" s="136" t="s">
        <v>152</v>
      </c>
      <c r="AQ82" s="45"/>
      <c r="AR82" s="137"/>
      <c r="AS82" s="133" t="s">
        <v>142</v>
      </c>
      <c r="AT82" s="136" t="s">
        <v>153</v>
      </c>
      <c r="AU82" s="45"/>
      <c r="AV82" s="137"/>
      <c r="AW82" s="133" t="s">
        <v>142</v>
      </c>
      <c r="AX82" s="136" t="s">
        <v>154</v>
      </c>
      <c r="AY82" s="45"/>
      <c r="AZ82" s="137"/>
      <c r="BA82" s="133" t="s">
        <v>142</v>
      </c>
      <c r="BB82" s="136" t="s">
        <v>155</v>
      </c>
      <c r="BC82" s="45"/>
      <c r="BD82" s="137"/>
      <c r="BE82" s="133" t="s">
        <v>142</v>
      </c>
      <c r="BF82" s="136" t="s">
        <v>156</v>
      </c>
      <c r="BG82" s="45"/>
      <c r="BH82" s="137"/>
      <c r="BI82" s="133" t="s">
        <v>142</v>
      </c>
      <c r="BJ82" s="136" t="s">
        <v>157</v>
      </c>
      <c r="BK82" s="45"/>
      <c r="BL82" s="137"/>
      <c r="BM82" s="133" t="s">
        <v>142</v>
      </c>
      <c r="BN82" s="136" t="s">
        <v>158</v>
      </c>
      <c r="BO82" s="45"/>
      <c r="BP82" s="137"/>
      <c r="BQ82" s="133" t="s">
        <v>142</v>
      </c>
      <c r="BR82" s="136" t="s">
        <v>159</v>
      </c>
      <c r="BS82" s="45"/>
      <c r="BT82" s="137"/>
      <c r="BU82" s="133" t="s">
        <v>142</v>
      </c>
      <c r="BV82" s="136" t="s">
        <v>160</v>
      </c>
      <c r="BW82" s="45"/>
      <c r="BX82" s="137"/>
      <c r="BY82" s="133" t="s">
        <v>142</v>
      </c>
      <c r="BZ82" s="136" t="s">
        <v>161</v>
      </c>
      <c r="CA82" s="45"/>
      <c r="CB82" s="137"/>
      <c r="CC82" s="133" t="s">
        <v>142</v>
      </c>
      <c r="CD82" s="136" t="s">
        <v>162</v>
      </c>
      <c r="CE82" s="45"/>
      <c r="CF82" s="137"/>
      <c r="CG82" s="133" t="s">
        <v>142</v>
      </c>
      <c r="CH82" s="136" t="s">
        <v>163</v>
      </c>
      <c r="CI82" s="45"/>
    </row>
    <row r="83">
      <c r="A83" s="138"/>
      <c r="B83" s="138"/>
      <c r="C83" s="52"/>
      <c r="D83" s="138"/>
      <c r="E83" s="139"/>
      <c r="F83" s="140"/>
      <c r="G83" s="57"/>
      <c r="I83" s="139"/>
      <c r="J83" s="140"/>
      <c r="K83" s="57"/>
      <c r="M83" s="139"/>
      <c r="N83" s="140"/>
      <c r="O83" s="57"/>
      <c r="Q83" s="139"/>
      <c r="R83" s="140"/>
      <c r="S83" s="57"/>
      <c r="U83" s="139"/>
      <c r="V83" s="140"/>
      <c r="W83" s="57"/>
      <c r="Y83" s="139"/>
      <c r="Z83" s="140"/>
      <c r="AA83" s="57"/>
      <c r="AC83" s="139"/>
      <c r="AD83" s="140"/>
      <c r="AE83" s="57"/>
      <c r="AG83" s="139"/>
      <c r="AH83" s="140"/>
      <c r="AI83" s="57"/>
      <c r="AK83" s="139"/>
      <c r="AL83" s="140"/>
      <c r="AM83" s="57"/>
      <c r="AO83" s="139"/>
      <c r="AP83" s="140"/>
      <c r="AQ83" s="57"/>
      <c r="AS83" s="139"/>
      <c r="AT83" s="140"/>
      <c r="AU83" s="57"/>
      <c r="AW83" s="139"/>
      <c r="AX83" s="140"/>
      <c r="AY83" s="57"/>
      <c r="BA83" s="139"/>
      <c r="BB83" s="140"/>
      <c r="BC83" s="57"/>
      <c r="BE83" s="139"/>
      <c r="BF83" s="140"/>
      <c r="BG83" s="57"/>
      <c r="BI83" s="139"/>
      <c r="BJ83" s="140"/>
      <c r="BK83" s="57"/>
      <c r="BM83" s="139"/>
      <c r="BN83" s="140"/>
      <c r="BO83" s="57"/>
      <c r="BQ83" s="139"/>
      <c r="BR83" s="140"/>
      <c r="BS83" s="57"/>
      <c r="BU83" s="139"/>
      <c r="BV83" s="140"/>
      <c r="BW83" s="57"/>
      <c r="BY83" s="139"/>
      <c r="BZ83" s="140"/>
      <c r="CA83" s="57"/>
      <c r="CC83" s="139"/>
      <c r="CD83" s="140"/>
      <c r="CE83" s="57"/>
      <c r="CG83" s="139"/>
      <c r="CH83" s="140"/>
      <c r="CI83" s="57"/>
    </row>
    <row r="84">
      <c r="A84" s="138"/>
      <c r="B84" s="138"/>
      <c r="C84" s="52"/>
      <c r="D84" s="138"/>
      <c r="E84" s="141">
        <v>46023.0</v>
      </c>
      <c r="F84" s="133" t="s">
        <v>164</v>
      </c>
      <c r="G84" s="133" t="s">
        <v>165</v>
      </c>
      <c r="I84" s="141">
        <v>46023.0</v>
      </c>
      <c r="J84" s="133" t="s">
        <v>164</v>
      </c>
      <c r="K84" s="133" t="s">
        <v>165</v>
      </c>
      <c r="M84" s="141">
        <v>46023.0</v>
      </c>
      <c r="N84" s="133" t="s">
        <v>164</v>
      </c>
      <c r="O84" s="133" t="s">
        <v>165</v>
      </c>
      <c r="Q84" s="141">
        <v>46023.0</v>
      </c>
      <c r="R84" s="133" t="s">
        <v>164</v>
      </c>
      <c r="S84" s="133" t="s">
        <v>165</v>
      </c>
      <c r="U84" s="141">
        <v>46023.0</v>
      </c>
      <c r="V84" s="133" t="s">
        <v>164</v>
      </c>
      <c r="W84" s="133" t="s">
        <v>165</v>
      </c>
      <c r="Y84" s="141">
        <v>46023.0</v>
      </c>
      <c r="Z84" s="133" t="s">
        <v>164</v>
      </c>
      <c r="AA84" s="133" t="s">
        <v>165</v>
      </c>
      <c r="AC84" s="141">
        <v>46023.0</v>
      </c>
      <c r="AD84" s="133" t="s">
        <v>164</v>
      </c>
      <c r="AE84" s="133" t="s">
        <v>165</v>
      </c>
      <c r="AG84" s="141">
        <v>46023.0</v>
      </c>
      <c r="AH84" s="133" t="s">
        <v>164</v>
      </c>
      <c r="AI84" s="133" t="s">
        <v>165</v>
      </c>
      <c r="AK84" s="141">
        <v>46023.0</v>
      </c>
      <c r="AL84" s="133" t="s">
        <v>164</v>
      </c>
      <c r="AM84" s="133" t="s">
        <v>165</v>
      </c>
      <c r="AO84" s="141">
        <v>46023.0</v>
      </c>
      <c r="AP84" s="133" t="s">
        <v>164</v>
      </c>
      <c r="AQ84" s="133" t="s">
        <v>165</v>
      </c>
      <c r="AS84" s="141">
        <v>46023.0</v>
      </c>
      <c r="AT84" s="133" t="s">
        <v>164</v>
      </c>
      <c r="AU84" s="133" t="s">
        <v>165</v>
      </c>
      <c r="AW84" s="141">
        <v>46023.0</v>
      </c>
      <c r="AX84" s="133" t="s">
        <v>164</v>
      </c>
      <c r="AY84" s="133" t="s">
        <v>165</v>
      </c>
      <c r="BA84" s="141">
        <v>46023.0</v>
      </c>
      <c r="BB84" s="133" t="s">
        <v>164</v>
      </c>
      <c r="BC84" s="133" t="s">
        <v>165</v>
      </c>
      <c r="BE84" s="141">
        <v>46023.0</v>
      </c>
      <c r="BF84" s="133" t="s">
        <v>164</v>
      </c>
      <c r="BG84" s="133" t="s">
        <v>165</v>
      </c>
      <c r="BI84" s="141">
        <v>46023.0</v>
      </c>
      <c r="BJ84" s="133" t="s">
        <v>164</v>
      </c>
      <c r="BK84" s="133" t="s">
        <v>165</v>
      </c>
      <c r="BM84" s="141">
        <v>46023.0</v>
      </c>
      <c r="BN84" s="133" t="s">
        <v>164</v>
      </c>
      <c r="BO84" s="133" t="s">
        <v>165</v>
      </c>
      <c r="BQ84" s="141">
        <v>46023.0</v>
      </c>
      <c r="BR84" s="133" t="s">
        <v>164</v>
      </c>
      <c r="BS84" s="133" t="s">
        <v>165</v>
      </c>
      <c r="BU84" s="141">
        <v>46023.0</v>
      </c>
      <c r="BV84" s="133" t="s">
        <v>164</v>
      </c>
      <c r="BW84" s="133" t="s">
        <v>165</v>
      </c>
      <c r="BY84" s="141">
        <v>46023.0</v>
      </c>
      <c r="BZ84" s="133" t="s">
        <v>164</v>
      </c>
      <c r="CA84" s="133" t="s">
        <v>165</v>
      </c>
      <c r="CC84" s="141">
        <v>46023.0</v>
      </c>
      <c r="CD84" s="133" t="s">
        <v>164</v>
      </c>
      <c r="CE84" s="133" t="s">
        <v>165</v>
      </c>
      <c r="CG84" s="141">
        <v>46023.0</v>
      </c>
      <c r="CH84" s="133" t="s">
        <v>164</v>
      </c>
      <c r="CI84" s="133" t="s">
        <v>165</v>
      </c>
    </row>
    <row r="85">
      <c r="A85" s="140"/>
      <c r="B85" s="140"/>
      <c r="C85" s="57"/>
      <c r="D85" s="140"/>
      <c r="E85" s="139"/>
      <c r="F85" s="139"/>
      <c r="G85" s="139"/>
      <c r="I85" s="139"/>
      <c r="J85" s="139"/>
      <c r="K85" s="139"/>
      <c r="M85" s="139"/>
      <c r="N85" s="139"/>
      <c r="O85" s="139"/>
      <c r="Q85" s="139"/>
      <c r="R85" s="139"/>
      <c r="S85" s="139"/>
      <c r="U85" s="139"/>
      <c r="V85" s="139"/>
      <c r="W85" s="139"/>
      <c r="Y85" s="139"/>
      <c r="Z85" s="139"/>
      <c r="AA85" s="139"/>
      <c r="AC85" s="139"/>
      <c r="AD85" s="139"/>
      <c r="AE85" s="139"/>
      <c r="AG85" s="139"/>
      <c r="AH85" s="139"/>
      <c r="AI85" s="139"/>
      <c r="AK85" s="139"/>
      <c r="AL85" s="139"/>
      <c r="AM85" s="139"/>
      <c r="AO85" s="139"/>
      <c r="AP85" s="139"/>
      <c r="AQ85" s="139"/>
      <c r="AS85" s="139"/>
      <c r="AT85" s="139"/>
      <c r="AU85" s="139"/>
      <c r="AW85" s="139"/>
      <c r="AX85" s="139"/>
      <c r="AY85" s="139"/>
      <c r="BA85" s="139"/>
      <c r="BB85" s="139"/>
      <c r="BC85" s="139"/>
      <c r="BE85" s="139"/>
      <c r="BF85" s="139"/>
      <c r="BG85" s="139"/>
      <c r="BI85" s="139"/>
      <c r="BJ85" s="139"/>
      <c r="BK85" s="139"/>
      <c r="BM85" s="139"/>
      <c r="BN85" s="139"/>
      <c r="BO85" s="139"/>
      <c r="BQ85" s="139"/>
      <c r="BR85" s="139"/>
      <c r="BS85" s="139"/>
      <c r="BU85" s="139"/>
      <c r="BV85" s="139"/>
      <c r="BW85" s="139"/>
      <c r="BY85" s="139"/>
      <c r="BZ85" s="139"/>
      <c r="CA85" s="139"/>
      <c r="CC85" s="139"/>
      <c r="CD85" s="139"/>
      <c r="CE85" s="139"/>
      <c r="CG85" s="139"/>
      <c r="CH85" s="139"/>
      <c r="CI85" s="139"/>
    </row>
    <row r="86">
      <c r="A86" s="142" t="b">
        <v>0</v>
      </c>
      <c r="B86" s="143" t="s">
        <v>191</v>
      </c>
      <c r="C86" s="45"/>
      <c r="D86" s="172" t="s">
        <v>38</v>
      </c>
      <c r="E86" s="145" t="s">
        <v>167</v>
      </c>
      <c r="F86" s="146"/>
      <c r="G86" s="146"/>
      <c r="I86" s="145" t="s">
        <v>167</v>
      </c>
      <c r="J86" s="146"/>
      <c r="K86" s="146"/>
      <c r="M86" s="145" t="s">
        <v>167</v>
      </c>
      <c r="N86" s="146"/>
      <c r="O86" s="146"/>
      <c r="Q86" s="145" t="s">
        <v>167</v>
      </c>
      <c r="R86" s="146"/>
      <c r="S86" s="146"/>
      <c r="U86" s="145" t="s">
        <v>167</v>
      </c>
      <c r="V86" s="146"/>
      <c r="W86" s="146"/>
      <c r="Y86" s="145" t="s">
        <v>167</v>
      </c>
      <c r="Z86" s="146"/>
      <c r="AA86" s="146"/>
      <c r="AC86" s="145" t="s">
        <v>167</v>
      </c>
      <c r="AD86" s="146"/>
      <c r="AE86" s="146"/>
      <c r="AG86" s="145" t="s">
        <v>167</v>
      </c>
      <c r="AH86" s="146"/>
      <c r="AI86" s="146"/>
      <c r="AK86" s="145" t="s">
        <v>167</v>
      </c>
      <c r="AL86" s="146"/>
      <c r="AM86" s="146"/>
      <c r="AO86" s="145" t="s">
        <v>167</v>
      </c>
      <c r="AP86" s="146"/>
      <c r="AQ86" s="146"/>
      <c r="AS86" s="145" t="s">
        <v>167</v>
      </c>
      <c r="AT86" s="146"/>
      <c r="AU86" s="146"/>
      <c r="AW86" s="145" t="s">
        <v>167</v>
      </c>
      <c r="AX86" s="146"/>
      <c r="AY86" s="146"/>
      <c r="BA86" s="145" t="s">
        <v>167</v>
      </c>
      <c r="BB86" s="146"/>
      <c r="BC86" s="146"/>
      <c r="BE86" s="145" t="s">
        <v>167</v>
      </c>
      <c r="BF86" s="146"/>
      <c r="BG86" s="146"/>
      <c r="BI86" s="145" t="s">
        <v>167</v>
      </c>
      <c r="BJ86" s="146"/>
      <c r="BK86" s="146"/>
      <c r="BM86" s="145" t="s">
        <v>167</v>
      </c>
      <c r="BN86" s="146"/>
      <c r="BO86" s="146"/>
      <c r="BQ86" s="145" t="s">
        <v>167</v>
      </c>
      <c r="BR86" s="146"/>
      <c r="BS86" s="146"/>
      <c r="BU86" s="145" t="s">
        <v>167</v>
      </c>
      <c r="BV86" s="146"/>
      <c r="BW86" s="146"/>
      <c r="BY86" s="145" t="s">
        <v>167</v>
      </c>
      <c r="BZ86" s="146"/>
      <c r="CA86" s="146"/>
      <c r="CC86" s="145" t="s">
        <v>167</v>
      </c>
      <c r="CD86" s="146"/>
      <c r="CE86" s="146"/>
      <c r="CG86" s="145" t="s">
        <v>167</v>
      </c>
      <c r="CH86" s="146"/>
      <c r="CI86" s="146"/>
    </row>
    <row r="87">
      <c r="A87" s="147"/>
      <c r="B87" s="138"/>
      <c r="C87" s="52"/>
      <c r="D87" s="138"/>
      <c r="E87" s="139"/>
      <c r="F87" s="139"/>
      <c r="G87" s="139"/>
      <c r="I87" s="139"/>
      <c r="J87" s="139"/>
      <c r="K87" s="139"/>
      <c r="M87" s="139"/>
      <c r="N87" s="139"/>
      <c r="O87" s="139"/>
      <c r="Q87" s="139"/>
      <c r="R87" s="139"/>
      <c r="S87" s="139"/>
      <c r="U87" s="139"/>
      <c r="V87" s="139"/>
      <c r="W87" s="139"/>
      <c r="Y87" s="139"/>
      <c r="Z87" s="139"/>
      <c r="AA87" s="139"/>
      <c r="AC87" s="139"/>
      <c r="AD87" s="139"/>
      <c r="AE87" s="139"/>
      <c r="AG87" s="139"/>
      <c r="AH87" s="139"/>
      <c r="AI87" s="139"/>
      <c r="AK87" s="139"/>
      <c r="AL87" s="139"/>
      <c r="AM87" s="139"/>
      <c r="AO87" s="139"/>
      <c r="AP87" s="139"/>
      <c r="AQ87" s="139"/>
      <c r="AS87" s="139"/>
      <c r="AT87" s="139"/>
      <c r="AU87" s="139"/>
      <c r="AW87" s="139"/>
      <c r="AX87" s="139"/>
      <c r="AY87" s="139"/>
      <c r="BA87" s="139"/>
      <c r="BB87" s="139"/>
      <c r="BC87" s="139"/>
      <c r="BE87" s="139"/>
      <c r="BF87" s="139"/>
      <c r="BG87" s="139"/>
      <c r="BI87" s="139"/>
      <c r="BJ87" s="139"/>
      <c r="BK87" s="139"/>
      <c r="BM87" s="139"/>
      <c r="BN87" s="139"/>
      <c r="BO87" s="139"/>
      <c r="BQ87" s="139"/>
      <c r="BR87" s="139"/>
      <c r="BS87" s="139"/>
      <c r="BU87" s="139"/>
      <c r="BV87" s="139"/>
      <c r="BW87" s="139"/>
      <c r="BY87" s="139"/>
      <c r="BZ87" s="139"/>
      <c r="CA87" s="139"/>
      <c r="CC87" s="139"/>
      <c r="CD87" s="139"/>
      <c r="CE87" s="139"/>
      <c r="CG87" s="139"/>
      <c r="CH87" s="139"/>
      <c r="CI87" s="139"/>
    </row>
    <row r="88" ht="15.0" customHeight="1">
      <c r="A88" s="147"/>
      <c r="B88" s="138"/>
      <c r="C88" s="52"/>
      <c r="D88" s="138"/>
      <c r="E88" s="148"/>
      <c r="F88" s="149"/>
      <c r="G88" s="45"/>
      <c r="I88" s="148"/>
      <c r="J88" s="149"/>
      <c r="K88" s="45"/>
      <c r="M88" s="148"/>
      <c r="N88" s="149"/>
      <c r="O88" s="45"/>
      <c r="Q88" s="148"/>
      <c r="R88" s="149"/>
      <c r="S88" s="45"/>
      <c r="U88" s="148"/>
      <c r="V88" s="149"/>
      <c r="W88" s="45"/>
      <c r="Y88" s="148"/>
      <c r="Z88" s="149"/>
      <c r="AA88" s="45"/>
      <c r="AC88" s="148"/>
      <c r="AD88" s="149"/>
      <c r="AE88" s="45"/>
      <c r="AG88" s="148"/>
      <c r="AH88" s="149"/>
      <c r="AI88" s="45"/>
      <c r="AK88" s="148"/>
      <c r="AL88" s="149"/>
      <c r="AM88" s="45"/>
      <c r="AO88" s="148"/>
      <c r="AP88" s="149"/>
      <c r="AQ88" s="45"/>
      <c r="AS88" s="148"/>
      <c r="AT88" s="149"/>
      <c r="AU88" s="45"/>
      <c r="AW88" s="148"/>
      <c r="AX88" s="149"/>
      <c r="AY88" s="45"/>
      <c r="BA88" s="148"/>
      <c r="BB88" s="149"/>
      <c r="BC88" s="45"/>
      <c r="BE88" s="148"/>
      <c r="BF88" s="149"/>
      <c r="BG88" s="45"/>
      <c r="BI88" s="148"/>
      <c r="BJ88" s="149"/>
      <c r="BK88" s="45"/>
      <c r="BM88" s="148"/>
      <c r="BN88" s="149"/>
      <c r="BO88" s="45"/>
      <c r="BQ88" s="148"/>
      <c r="BR88" s="149"/>
      <c r="BS88" s="45"/>
      <c r="BU88" s="148"/>
      <c r="BV88" s="149"/>
      <c r="BW88" s="45"/>
      <c r="BY88" s="148"/>
      <c r="BZ88" s="149"/>
      <c r="CA88" s="45"/>
      <c r="CC88" s="148"/>
      <c r="CD88" s="149"/>
      <c r="CE88" s="45"/>
      <c r="CG88" s="148"/>
      <c r="CH88" s="149"/>
      <c r="CI88" s="45"/>
    </row>
    <row r="89" ht="15.0" customHeight="1">
      <c r="A89" s="147"/>
      <c r="B89" s="140"/>
      <c r="C89" s="57"/>
      <c r="D89" s="140"/>
      <c r="E89" s="138"/>
      <c r="G89" s="52"/>
      <c r="I89" s="138"/>
      <c r="K89" s="52"/>
      <c r="M89" s="138"/>
      <c r="O89" s="52"/>
      <c r="Q89" s="138"/>
      <c r="S89" s="52"/>
      <c r="U89" s="138"/>
      <c r="W89" s="52"/>
      <c r="Y89" s="138"/>
      <c r="AA89" s="52"/>
      <c r="AC89" s="138"/>
      <c r="AE89" s="52"/>
      <c r="AG89" s="138"/>
      <c r="AI89" s="52"/>
      <c r="AK89" s="138"/>
      <c r="AM89" s="52"/>
      <c r="AO89" s="138"/>
      <c r="AQ89" s="52"/>
      <c r="AS89" s="138"/>
      <c r="AU89" s="52"/>
      <c r="AW89" s="138"/>
      <c r="AY89" s="52"/>
      <c r="BA89" s="138"/>
      <c r="BC89" s="52"/>
      <c r="BE89" s="138"/>
      <c r="BG89" s="52"/>
      <c r="BI89" s="138"/>
      <c r="BK89" s="52"/>
      <c r="BM89" s="138"/>
      <c r="BO89" s="52"/>
      <c r="BQ89" s="138"/>
      <c r="BS89" s="52"/>
      <c r="BU89" s="138"/>
      <c r="BW89" s="52"/>
      <c r="BY89" s="138"/>
      <c r="CA89" s="52"/>
      <c r="CC89" s="138"/>
      <c r="CE89" s="52"/>
      <c r="CG89" s="138"/>
      <c r="CI89" s="52"/>
    </row>
    <row r="90" ht="23.25" customHeight="1">
      <c r="A90" s="147"/>
      <c r="B90" s="173" t="s">
        <v>168</v>
      </c>
      <c r="C90" s="174" t="s">
        <v>165</v>
      </c>
      <c r="D90" s="175" t="s">
        <v>164</v>
      </c>
      <c r="E90" s="140"/>
      <c r="F90" s="56"/>
      <c r="G90" s="57"/>
      <c r="I90" s="140"/>
      <c r="J90" s="56"/>
      <c r="K90" s="57"/>
      <c r="M90" s="140"/>
      <c r="N90" s="56"/>
      <c r="O90" s="57"/>
      <c r="Q90" s="140"/>
      <c r="R90" s="56"/>
      <c r="S90" s="57"/>
      <c r="U90" s="140"/>
      <c r="V90" s="56"/>
      <c r="W90" s="57"/>
      <c r="Y90" s="140"/>
      <c r="Z90" s="56"/>
      <c r="AA90" s="57"/>
      <c r="AC90" s="140"/>
      <c r="AD90" s="56"/>
      <c r="AE90" s="57"/>
      <c r="AG90" s="140"/>
      <c r="AH90" s="56"/>
      <c r="AI90" s="57"/>
      <c r="AK90" s="140"/>
      <c r="AL90" s="56"/>
      <c r="AM90" s="57"/>
      <c r="AO90" s="140"/>
      <c r="AP90" s="56"/>
      <c r="AQ90" s="57"/>
      <c r="AS90" s="140"/>
      <c r="AT90" s="56"/>
      <c r="AU90" s="57"/>
      <c r="AW90" s="140"/>
      <c r="AX90" s="56"/>
      <c r="AY90" s="57"/>
      <c r="BA90" s="140"/>
      <c r="BB90" s="56"/>
      <c r="BC90" s="57"/>
      <c r="BE90" s="140"/>
      <c r="BF90" s="56"/>
      <c r="BG90" s="57"/>
      <c r="BI90" s="140"/>
      <c r="BJ90" s="56"/>
      <c r="BK90" s="57"/>
      <c r="BM90" s="140"/>
      <c r="BN90" s="56"/>
      <c r="BO90" s="57"/>
      <c r="BQ90" s="140"/>
      <c r="BR90" s="56"/>
      <c r="BS90" s="57"/>
      <c r="BU90" s="140"/>
      <c r="BV90" s="56"/>
      <c r="BW90" s="57"/>
      <c r="BY90" s="140"/>
      <c r="BZ90" s="56"/>
      <c r="CA90" s="57"/>
      <c r="CC90" s="140"/>
      <c r="CD90" s="56"/>
      <c r="CE90" s="57"/>
      <c r="CG90" s="140"/>
      <c r="CH90" s="56"/>
      <c r="CI90" s="57"/>
    </row>
    <row r="91" ht="24.0" customHeight="1">
      <c r="A91" s="139"/>
      <c r="B91" s="153">
        <v>3.0</v>
      </c>
      <c r="C91" s="154" t="s">
        <v>169</v>
      </c>
      <c r="D91" s="155" t="s">
        <v>174</v>
      </c>
      <c r="E91" s="156" t="s">
        <v>171</v>
      </c>
      <c r="F91" s="38"/>
      <c r="G91" s="157"/>
      <c r="I91" s="156" t="s">
        <v>171</v>
      </c>
      <c r="J91" s="38"/>
      <c r="K91" s="157"/>
      <c r="M91" s="156" t="s">
        <v>171</v>
      </c>
      <c r="N91" s="38"/>
      <c r="O91" s="157"/>
      <c r="Q91" s="156" t="s">
        <v>171</v>
      </c>
      <c r="R91" s="38"/>
      <c r="S91" s="157"/>
      <c r="U91" s="156" t="s">
        <v>171</v>
      </c>
      <c r="V91" s="38"/>
      <c r="W91" s="157"/>
      <c r="Y91" s="156" t="s">
        <v>171</v>
      </c>
      <c r="Z91" s="38"/>
      <c r="AA91" s="157"/>
      <c r="AC91" s="156" t="s">
        <v>171</v>
      </c>
      <c r="AD91" s="38"/>
      <c r="AE91" s="157"/>
      <c r="AG91" s="156" t="s">
        <v>171</v>
      </c>
      <c r="AH91" s="38"/>
      <c r="AI91" s="157"/>
      <c r="AK91" s="156" t="s">
        <v>171</v>
      </c>
      <c r="AL91" s="38"/>
      <c r="AM91" s="157"/>
      <c r="AO91" s="156" t="s">
        <v>171</v>
      </c>
      <c r="AP91" s="38"/>
      <c r="AQ91" s="157"/>
      <c r="AS91" s="156" t="s">
        <v>171</v>
      </c>
      <c r="AT91" s="38"/>
      <c r="AU91" s="157"/>
      <c r="AW91" s="156" t="s">
        <v>171</v>
      </c>
      <c r="AX91" s="38"/>
      <c r="AY91" s="157"/>
      <c r="BA91" s="156" t="s">
        <v>171</v>
      </c>
      <c r="BB91" s="38"/>
      <c r="BC91" s="157"/>
      <c r="BE91" s="156" t="s">
        <v>171</v>
      </c>
      <c r="BF91" s="38"/>
      <c r="BG91" s="157"/>
      <c r="BI91" s="156" t="s">
        <v>171</v>
      </c>
      <c r="BJ91" s="38"/>
      <c r="BK91" s="157"/>
      <c r="BM91" s="156" t="s">
        <v>171</v>
      </c>
      <c r="BN91" s="38"/>
      <c r="BO91" s="157"/>
      <c r="BQ91" s="156" t="s">
        <v>171</v>
      </c>
      <c r="BR91" s="38"/>
      <c r="BS91" s="157"/>
      <c r="BU91" s="156" t="s">
        <v>171</v>
      </c>
      <c r="BV91" s="38"/>
      <c r="BW91" s="157"/>
      <c r="BY91" s="156" t="s">
        <v>171</v>
      </c>
      <c r="BZ91" s="38"/>
      <c r="CA91" s="157"/>
      <c r="CC91" s="156" t="s">
        <v>171</v>
      </c>
      <c r="CD91" s="38"/>
      <c r="CE91" s="157"/>
      <c r="CG91" s="156" t="s">
        <v>171</v>
      </c>
      <c r="CH91" s="38"/>
      <c r="CI91" s="157"/>
    </row>
    <row r="92" ht="9.75" customHeight="1">
      <c r="A92" s="166"/>
      <c r="E92" s="137"/>
      <c r="I92" s="137"/>
      <c r="M92" s="137"/>
      <c r="Q92" s="137"/>
      <c r="U92" s="137"/>
      <c r="Y92" s="137"/>
      <c r="AC92" s="137"/>
      <c r="AG92" s="137"/>
      <c r="AK92" s="137"/>
      <c r="AO92" s="137"/>
      <c r="AS92" s="137"/>
      <c r="AW92" s="137"/>
      <c r="BA92" s="137"/>
      <c r="BE92" s="137"/>
      <c r="BI92" s="137"/>
      <c r="BM92" s="137"/>
      <c r="BQ92" s="137"/>
      <c r="BU92" s="137"/>
      <c r="BY92" s="137"/>
      <c r="CC92" s="137"/>
      <c r="CG92" s="137"/>
    </row>
    <row r="93">
      <c r="A93" s="142" t="b">
        <v>0</v>
      </c>
      <c r="B93" s="165" t="s">
        <v>177</v>
      </c>
      <c r="C93" s="45"/>
      <c r="D93" s="172" t="s">
        <v>38</v>
      </c>
      <c r="E93" s="145" t="s">
        <v>167</v>
      </c>
      <c r="F93" s="146"/>
      <c r="G93" s="146"/>
      <c r="I93" s="145" t="s">
        <v>167</v>
      </c>
      <c r="J93" s="146"/>
      <c r="K93" s="146"/>
      <c r="M93" s="145" t="s">
        <v>167</v>
      </c>
      <c r="N93" s="146"/>
      <c r="O93" s="146"/>
      <c r="Q93" s="145" t="s">
        <v>167</v>
      </c>
      <c r="R93" s="146"/>
      <c r="S93" s="146"/>
      <c r="U93" s="145" t="s">
        <v>167</v>
      </c>
      <c r="V93" s="146"/>
      <c r="W93" s="146"/>
      <c r="Y93" s="145" t="s">
        <v>167</v>
      </c>
      <c r="Z93" s="146"/>
      <c r="AA93" s="146"/>
      <c r="AC93" s="145" t="s">
        <v>167</v>
      </c>
      <c r="AD93" s="146"/>
      <c r="AE93" s="146"/>
      <c r="AG93" s="145" t="s">
        <v>167</v>
      </c>
      <c r="AH93" s="146"/>
      <c r="AI93" s="146"/>
      <c r="AK93" s="145" t="s">
        <v>167</v>
      </c>
      <c r="AL93" s="146"/>
      <c r="AM93" s="146"/>
      <c r="AO93" s="145" t="s">
        <v>167</v>
      </c>
      <c r="AP93" s="146"/>
      <c r="AQ93" s="146"/>
      <c r="AS93" s="145" t="s">
        <v>167</v>
      </c>
      <c r="AT93" s="146"/>
      <c r="AU93" s="146"/>
      <c r="AW93" s="145" t="s">
        <v>167</v>
      </c>
      <c r="AX93" s="146"/>
      <c r="AY93" s="146"/>
      <c r="BA93" s="145" t="s">
        <v>167</v>
      </c>
      <c r="BB93" s="146"/>
      <c r="BC93" s="146"/>
      <c r="BE93" s="145" t="s">
        <v>167</v>
      </c>
      <c r="BF93" s="146"/>
      <c r="BG93" s="146"/>
      <c r="BI93" s="145" t="s">
        <v>167</v>
      </c>
      <c r="BJ93" s="146"/>
      <c r="BK93" s="146"/>
      <c r="BM93" s="145" t="s">
        <v>167</v>
      </c>
      <c r="BN93" s="146"/>
      <c r="BO93" s="146"/>
      <c r="BQ93" s="145" t="s">
        <v>167</v>
      </c>
      <c r="BR93" s="146"/>
      <c r="BS93" s="146"/>
      <c r="BU93" s="145" t="s">
        <v>167</v>
      </c>
      <c r="BV93" s="146"/>
      <c r="BW93" s="146"/>
      <c r="BY93" s="145" t="s">
        <v>167</v>
      </c>
      <c r="BZ93" s="146"/>
      <c r="CA93" s="146"/>
      <c r="CC93" s="145" t="s">
        <v>167</v>
      </c>
      <c r="CD93" s="146"/>
      <c r="CE93" s="146"/>
      <c r="CG93" s="145" t="s">
        <v>167</v>
      </c>
      <c r="CH93" s="146"/>
      <c r="CI93" s="146"/>
    </row>
    <row r="94">
      <c r="A94" s="147"/>
      <c r="B94" s="138"/>
      <c r="C94" s="52"/>
      <c r="D94" s="138"/>
      <c r="E94" s="139"/>
      <c r="F94" s="139"/>
      <c r="G94" s="139"/>
      <c r="I94" s="139"/>
      <c r="J94" s="139"/>
      <c r="K94" s="139"/>
      <c r="M94" s="139"/>
      <c r="N94" s="139"/>
      <c r="O94" s="139"/>
      <c r="Q94" s="139"/>
      <c r="R94" s="139"/>
      <c r="S94" s="139"/>
      <c r="U94" s="139"/>
      <c r="V94" s="139"/>
      <c r="W94" s="139"/>
      <c r="Y94" s="139"/>
      <c r="Z94" s="139"/>
      <c r="AA94" s="139"/>
      <c r="AC94" s="139"/>
      <c r="AD94" s="139"/>
      <c r="AE94" s="139"/>
      <c r="AG94" s="139"/>
      <c r="AH94" s="139"/>
      <c r="AI94" s="139"/>
      <c r="AK94" s="139"/>
      <c r="AL94" s="139"/>
      <c r="AM94" s="139"/>
      <c r="AO94" s="139"/>
      <c r="AP94" s="139"/>
      <c r="AQ94" s="139"/>
      <c r="AS94" s="139"/>
      <c r="AT94" s="139"/>
      <c r="AU94" s="139"/>
      <c r="AW94" s="139"/>
      <c r="AX94" s="139"/>
      <c r="AY94" s="139"/>
      <c r="BA94" s="139"/>
      <c r="BB94" s="139"/>
      <c r="BC94" s="139"/>
      <c r="BE94" s="139"/>
      <c r="BF94" s="139"/>
      <c r="BG94" s="139"/>
      <c r="BI94" s="139"/>
      <c r="BJ94" s="139"/>
      <c r="BK94" s="139"/>
      <c r="BM94" s="139"/>
      <c r="BN94" s="139"/>
      <c r="BO94" s="139"/>
      <c r="BQ94" s="139"/>
      <c r="BR94" s="139"/>
      <c r="BS94" s="139"/>
      <c r="BU94" s="139"/>
      <c r="BV94" s="139"/>
      <c r="BW94" s="139"/>
      <c r="BY94" s="139"/>
      <c r="BZ94" s="139"/>
      <c r="CA94" s="139"/>
      <c r="CC94" s="139"/>
      <c r="CD94" s="139"/>
      <c r="CE94" s="139"/>
      <c r="CG94" s="139"/>
      <c r="CH94" s="139"/>
      <c r="CI94" s="139"/>
    </row>
    <row r="95" ht="13.5" customHeight="1">
      <c r="A95" s="147"/>
      <c r="B95" s="138"/>
      <c r="C95" s="52"/>
      <c r="D95" s="138"/>
      <c r="E95" s="148"/>
      <c r="F95" s="149"/>
      <c r="G95" s="45"/>
      <c r="I95" s="148"/>
      <c r="J95" s="149"/>
      <c r="K95" s="45"/>
      <c r="M95" s="148"/>
      <c r="N95" s="149"/>
      <c r="O95" s="45"/>
      <c r="Q95" s="148"/>
      <c r="R95" s="149"/>
      <c r="S95" s="45"/>
      <c r="U95" s="148"/>
      <c r="V95" s="149"/>
      <c r="W95" s="45"/>
      <c r="Y95" s="148"/>
      <c r="Z95" s="149"/>
      <c r="AA95" s="45"/>
      <c r="AC95" s="148"/>
      <c r="AD95" s="149"/>
      <c r="AE95" s="45"/>
      <c r="AG95" s="148"/>
      <c r="AH95" s="149"/>
      <c r="AI95" s="45"/>
      <c r="AK95" s="148"/>
      <c r="AL95" s="149"/>
      <c r="AM95" s="45"/>
      <c r="AO95" s="148"/>
      <c r="AP95" s="149"/>
      <c r="AQ95" s="45"/>
      <c r="AS95" s="148"/>
      <c r="AT95" s="149"/>
      <c r="AU95" s="45"/>
      <c r="AW95" s="148"/>
      <c r="AX95" s="149"/>
      <c r="AY95" s="45"/>
      <c r="BA95" s="148"/>
      <c r="BB95" s="149"/>
      <c r="BC95" s="45"/>
      <c r="BE95" s="148"/>
      <c r="BF95" s="149"/>
      <c r="BG95" s="45"/>
      <c r="BI95" s="148"/>
      <c r="BJ95" s="149"/>
      <c r="BK95" s="45"/>
      <c r="BM95" s="148"/>
      <c r="BN95" s="149"/>
      <c r="BO95" s="45"/>
      <c r="BQ95" s="148"/>
      <c r="BR95" s="149"/>
      <c r="BS95" s="45"/>
      <c r="BU95" s="148"/>
      <c r="BV95" s="149"/>
      <c r="BW95" s="45"/>
      <c r="BY95" s="148"/>
      <c r="BZ95" s="149"/>
      <c r="CA95" s="45"/>
      <c r="CC95" s="148"/>
      <c r="CD95" s="149"/>
      <c r="CE95" s="45"/>
      <c r="CG95" s="148"/>
      <c r="CH95" s="149"/>
      <c r="CI95" s="45"/>
    </row>
    <row r="96" ht="13.5" customHeight="1">
      <c r="A96" s="147"/>
      <c r="B96" s="140"/>
      <c r="C96" s="57"/>
      <c r="D96" s="140"/>
      <c r="E96" s="138"/>
      <c r="G96" s="52"/>
      <c r="I96" s="138"/>
      <c r="K96" s="52"/>
      <c r="M96" s="138"/>
      <c r="O96" s="52"/>
      <c r="Q96" s="138"/>
      <c r="S96" s="52"/>
      <c r="U96" s="138"/>
      <c r="W96" s="52"/>
      <c r="Y96" s="138"/>
      <c r="AA96" s="52"/>
      <c r="AC96" s="138"/>
      <c r="AE96" s="52"/>
      <c r="AG96" s="138"/>
      <c r="AI96" s="52"/>
      <c r="AK96" s="138"/>
      <c r="AM96" s="52"/>
      <c r="AO96" s="138"/>
      <c r="AQ96" s="52"/>
      <c r="AS96" s="138"/>
      <c r="AU96" s="52"/>
      <c r="AW96" s="138"/>
      <c r="AY96" s="52"/>
      <c r="BA96" s="138"/>
      <c r="BC96" s="52"/>
      <c r="BE96" s="138"/>
      <c r="BG96" s="52"/>
      <c r="BI96" s="138"/>
      <c r="BK96" s="52"/>
      <c r="BM96" s="138"/>
      <c r="BO96" s="52"/>
      <c r="BQ96" s="138"/>
      <c r="BS96" s="52"/>
      <c r="BU96" s="138"/>
      <c r="BW96" s="52"/>
      <c r="BY96" s="138"/>
      <c r="CA96" s="52"/>
      <c r="CC96" s="138"/>
      <c r="CE96" s="52"/>
      <c r="CG96" s="138"/>
      <c r="CI96" s="52"/>
    </row>
    <row r="97" ht="21.75" customHeight="1">
      <c r="A97" s="147"/>
      <c r="B97" s="173" t="s">
        <v>168</v>
      </c>
      <c r="C97" s="174" t="s">
        <v>165</v>
      </c>
      <c r="D97" s="175" t="s">
        <v>164</v>
      </c>
      <c r="E97" s="140"/>
      <c r="F97" s="56"/>
      <c r="G97" s="57"/>
      <c r="I97" s="140"/>
      <c r="J97" s="56"/>
      <c r="K97" s="57"/>
      <c r="M97" s="140"/>
      <c r="N97" s="56"/>
      <c r="O97" s="57"/>
      <c r="Q97" s="140"/>
      <c r="R97" s="56"/>
      <c r="S97" s="57"/>
      <c r="U97" s="140"/>
      <c r="V97" s="56"/>
      <c r="W97" s="57"/>
      <c r="Y97" s="140"/>
      <c r="Z97" s="56"/>
      <c r="AA97" s="57"/>
      <c r="AC97" s="140"/>
      <c r="AD97" s="56"/>
      <c r="AE97" s="57"/>
      <c r="AG97" s="140"/>
      <c r="AH97" s="56"/>
      <c r="AI97" s="57"/>
      <c r="AK97" s="140"/>
      <c r="AL97" s="56"/>
      <c r="AM97" s="57"/>
      <c r="AO97" s="140"/>
      <c r="AP97" s="56"/>
      <c r="AQ97" s="57"/>
      <c r="AS97" s="140"/>
      <c r="AT97" s="56"/>
      <c r="AU97" s="57"/>
      <c r="AW97" s="140"/>
      <c r="AX97" s="56"/>
      <c r="AY97" s="57"/>
      <c r="BA97" s="140"/>
      <c r="BB97" s="56"/>
      <c r="BC97" s="57"/>
      <c r="BE97" s="140"/>
      <c r="BF97" s="56"/>
      <c r="BG97" s="57"/>
      <c r="BI97" s="140"/>
      <c r="BJ97" s="56"/>
      <c r="BK97" s="57"/>
      <c r="BM97" s="140"/>
      <c r="BN97" s="56"/>
      <c r="BO97" s="57"/>
      <c r="BQ97" s="140"/>
      <c r="BR97" s="56"/>
      <c r="BS97" s="57"/>
      <c r="BU97" s="140"/>
      <c r="BV97" s="56"/>
      <c r="BW97" s="57"/>
      <c r="BY97" s="140"/>
      <c r="BZ97" s="56"/>
      <c r="CA97" s="57"/>
      <c r="CC97" s="140"/>
      <c r="CD97" s="56"/>
      <c r="CE97" s="57"/>
      <c r="CG97" s="140"/>
      <c r="CH97" s="56"/>
      <c r="CI97" s="57"/>
    </row>
    <row r="98" ht="26.25" customHeight="1">
      <c r="A98" s="139"/>
      <c r="B98" s="161">
        <v>3.0</v>
      </c>
      <c r="C98" s="176">
        <v>46007.0</v>
      </c>
      <c r="D98" s="153" t="s">
        <v>174</v>
      </c>
      <c r="E98" s="156" t="s">
        <v>171</v>
      </c>
      <c r="F98" s="38"/>
      <c r="G98" s="157"/>
      <c r="I98" s="156" t="s">
        <v>171</v>
      </c>
      <c r="J98" s="38"/>
      <c r="K98" s="157"/>
      <c r="M98" s="156" t="s">
        <v>171</v>
      </c>
      <c r="N98" s="38"/>
      <c r="O98" s="157"/>
      <c r="Q98" s="156" t="s">
        <v>171</v>
      </c>
      <c r="R98" s="38"/>
      <c r="S98" s="157"/>
      <c r="U98" s="156" t="s">
        <v>171</v>
      </c>
      <c r="V98" s="38"/>
      <c r="W98" s="157"/>
      <c r="Y98" s="156" t="s">
        <v>171</v>
      </c>
      <c r="Z98" s="38"/>
      <c r="AA98" s="157"/>
      <c r="AC98" s="156" t="s">
        <v>171</v>
      </c>
      <c r="AD98" s="38"/>
      <c r="AE98" s="157"/>
      <c r="AG98" s="156" t="s">
        <v>171</v>
      </c>
      <c r="AH98" s="38"/>
      <c r="AI98" s="157"/>
      <c r="AK98" s="156" t="s">
        <v>171</v>
      </c>
      <c r="AL98" s="38"/>
      <c r="AM98" s="157"/>
      <c r="AO98" s="156" t="s">
        <v>171</v>
      </c>
      <c r="AP98" s="38"/>
      <c r="AQ98" s="157"/>
      <c r="AS98" s="156" t="s">
        <v>171</v>
      </c>
      <c r="AT98" s="38"/>
      <c r="AU98" s="157"/>
      <c r="AW98" s="156" t="s">
        <v>171</v>
      </c>
      <c r="AX98" s="38"/>
      <c r="AY98" s="157"/>
      <c r="BA98" s="156" t="s">
        <v>171</v>
      </c>
      <c r="BB98" s="38"/>
      <c r="BC98" s="157"/>
      <c r="BE98" s="156" t="s">
        <v>171</v>
      </c>
      <c r="BF98" s="38"/>
      <c r="BG98" s="157"/>
      <c r="BI98" s="156" t="s">
        <v>171</v>
      </c>
      <c r="BJ98" s="38"/>
      <c r="BK98" s="157"/>
      <c r="BM98" s="156" t="s">
        <v>171</v>
      </c>
      <c r="BN98" s="38"/>
      <c r="BO98" s="157"/>
      <c r="BQ98" s="156" t="s">
        <v>171</v>
      </c>
      <c r="BR98" s="38"/>
      <c r="BS98" s="157"/>
      <c r="BU98" s="156" t="s">
        <v>171</v>
      </c>
      <c r="BV98" s="38"/>
      <c r="BW98" s="157"/>
      <c r="BY98" s="156" t="s">
        <v>171</v>
      </c>
      <c r="BZ98" s="38"/>
      <c r="CA98" s="157"/>
      <c r="CC98" s="156" t="s">
        <v>171</v>
      </c>
      <c r="CD98" s="38"/>
      <c r="CE98" s="157"/>
      <c r="CG98" s="156" t="s">
        <v>171</v>
      </c>
      <c r="CH98" s="38"/>
      <c r="CI98" s="157"/>
    </row>
    <row r="99" ht="11.25" customHeight="1">
      <c r="A99" s="166"/>
      <c r="E99" s="137"/>
      <c r="I99" s="137"/>
      <c r="M99" s="137"/>
      <c r="Q99" s="137"/>
      <c r="U99" s="137"/>
      <c r="Y99" s="137"/>
      <c r="AC99" s="137"/>
      <c r="AG99" s="137"/>
      <c r="AK99" s="137"/>
      <c r="AO99" s="137"/>
      <c r="AS99" s="137"/>
      <c r="AW99" s="137"/>
      <c r="BA99" s="137"/>
      <c r="BE99" s="137"/>
      <c r="BI99" s="137"/>
      <c r="BM99" s="137"/>
      <c r="BQ99" s="137"/>
      <c r="BU99" s="137"/>
      <c r="BY99" s="137"/>
      <c r="CC99" s="137"/>
      <c r="CG99" s="137"/>
    </row>
    <row r="100">
      <c r="A100" s="142" t="b">
        <v>0</v>
      </c>
      <c r="B100" s="165" t="s">
        <v>192</v>
      </c>
      <c r="C100" s="45"/>
      <c r="D100" s="172" t="s">
        <v>38</v>
      </c>
      <c r="E100" s="145" t="s">
        <v>167</v>
      </c>
      <c r="F100" s="146"/>
      <c r="G100" s="146"/>
      <c r="I100" s="145" t="s">
        <v>167</v>
      </c>
      <c r="J100" s="146"/>
      <c r="K100" s="146"/>
      <c r="M100" s="145" t="s">
        <v>167</v>
      </c>
      <c r="N100" s="146"/>
      <c r="O100" s="146"/>
      <c r="Q100" s="145" t="s">
        <v>167</v>
      </c>
      <c r="R100" s="146"/>
      <c r="S100" s="146"/>
      <c r="U100" s="145" t="s">
        <v>167</v>
      </c>
      <c r="V100" s="146"/>
      <c r="W100" s="146"/>
      <c r="Y100" s="145" t="s">
        <v>167</v>
      </c>
      <c r="Z100" s="146"/>
      <c r="AA100" s="146"/>
      <c r="AC100" s="145" t="s">
        <v>167</v>
      </c>
      <c r="AD100" s="146"/>
      <c r="AE100" s="146"/>
      <c r="AG100" s="145" t="s">
        <v>167</v>
      </c>
      <c r="AH100" s="146"/>
      <c r="AI100" s="146"/>
      <c r="AK100" s="145" t="s">
        <v>167</v>
      </c>
      <c r="AL100" s="146"/>
      <c r="AM100" s="146"/>
      <c r="AO100" s="145" t="s">
        <v>167</v>
      </c>
      <c r="AP100" s="146"/>
      <c r="AQ100" s="146"/>
      <c r="AS100" s="145" t="s">
        <v>167</v>
      </c>
      <c r="AT100" s="146"/>
      <c r="AU100" s="146"/>
      <c r="AW100" s="145" t="s">
        <v>167</v>
      </c>
      <c r="AX100" s="146"/>
      <c r="AY100" s="146"/>
      <c r="BA100" s="145" t="s">
        <v>167</v>
      </c>
      <c r="BB100" s="146"/>
      <c r="BC100" s="146"/>
      <c r="BE100" s="145" t="s">
        <v>167</v>
      </c>
      <c r="BF100" s="146"/>
      <c r="BG100" s="146"/>
      <c r="BI100" s="145" t="s">
        <v>167</v>
      </c>
      <c r="BJ100" s="146"/>
      <c r="BK100" s="146"/>
      <c r="BM100" s="145" t="s">
        <v>167</v>
      </c>
      <c r="BN100" s="146"/>
      <c r="BO100" s="146"/>
      <c r="BQ100" s="145" t="s">
        <v>167</v>
      </c>
      <c r="BR100" s="146"/>
      <c r="BS100" s="146"/>
      <c r="BU100" s="145" t="s">
        <v>167</v>
      </c>
      <c r="BV100" s="146"/>
      <c r="BW100" s="146"/>
      <c r="BY100" s="145" t="s">
        <v>167</v>
      </c>
      <c r="BZ100" s="146"/>
      <c r="CA100" s="146"/>
      <c r="CC100" s="145" t="s">
        <v>167</v>
      </c>
      <c r="CD100" s="146"/>
      <c r="CE100" s="146"/>
      <c r="CG100" s="145" t="s">
        <v>167</v>
      </c>
      <c r="CH100" s="146"/>
      <c r="CI100" s="146"/>
    </row>
    <row r="101">
      <c r="A101" s="147"/>
      <c r="B101" s="138"/>
      <c r="C101" s="52"/>
      <c r="D101" s="138"/>
      <c r="E101" s="139"/>
      <c r="F101" s="139"/>
      <c r="G101" s="139"/>
      <c r="I101" s="139"/>
      <c r="J101" s="139"/>
      <c r="K101" s="139"/>
      <c r="M101" s="139"/>
      <c r="N101" s="139"/>
      <c r="O101" s="139"/>
      <c r="Q101" s="139"/>
      <c r="R101" s="139"/>
      <c r="S101" s="139"/>
      <c r="U101" s="139"/>
      <c r="V101" s="139"/>
      <c r="W101" s="139"/>
      <c r="Y101" s="139"/>
      <c r="Z101" s="139"/>
      <c r="AA101" s="139"/>
      <c r="AC101" s="139"/>
      <c r="AD101" s="139"/>
      <c r="AE101" s="139"/>
      <c r="AG101" s="139"/>
      <c r="AH101" s="139"/>
      <c r="AI101" s="139"/>
      <c r="AK101" s="139"/>
      <c r="AL101" s="139"/>
      <c r="AM101" s="139"/>
      <c r="AO101" s="139"/>
      <c r="AP101" s="139"/>
      <c r="AQ101" s="139"/>
      <c r="AS101" s="139"/>
      <c r="AT101" s="139"/>
      <c r="AU101" s="139"/>
      <c r="AW101" s="139"/>
      <c r="AX101" s="139"/>
      <c r="AY101" s="139"/>
      <c r="BA101" s="139"/>
      <c r="BB101" s="139"/>
      <c r="BC101" s="139"/>
      <c r="BE101" s="139"/>
      <c r="BF101" s="139"/>
      <c r="BG101" s="139"/>
      <c r="BI101" s="139"/>
      <c r="BJ101" s="139"/>
      <c r="BK101" s="139"/>
      <c r="BM101" s="139"/>
      <c r="BN101" s="139"/>
      <c r="BO101" s="139"/>
      <c r="BQ101" s="139"/>
      <c r="BR101" s="139"/>
      <c r="BS101" s="139"/>
      <c r="BU101" s="139"/>
      <c r="BV101" s="139"/>
      <c r="BW101" s="139"/>
      <c r="BY101" s="139"/>
      <c r="BZ101" s="139"/>
      <c r="CA101" s="139"/>
      <c r="CC101" s="139"/>
      <c r="CD101" s="139"/>
      <c r="CE101" s="139"/>
      <c r="CG101" s="139"/>
      <c r="CH101" s="139"/>
      <c r="CI101" s="139"/>
    </row>
    <row r="102" ht="15.75" customHeight="1">
      <c r="A102" s="147"/>
      <c r="B102" s="138"/>
      <c r="C102" s="52"/>
      <c r="D102" s="138"/>
      <c r="E102" s="148"/>
      <c r="F102" s="149"/>
      <c r="G102" s="45"/>
      <c r="I102" s="148"/>
      <c r="J102" s="149"/>
      <c r="K102" s="45"/>
      <c r="M102" s="148"/>
      <c r="N102" s="149"/>
      <c r="O102" s="45"/>
      <c r="Q102" s="148"/>
      <c r="R102" s="149"/>
      <c r="S102" s="45"/>
      <c r="U102" s="148"/>
      <c r="V102" s="149"/>
      <c r="W102" s="45"/>
      <c r="Y102" s="148"/>
      <c r="Z102" s="149"/>
      <c r="AA102" s="45"/>
      <c r="AC102" s="148"/>
      <c r="AD102" s="149"/>
      <c r="AE102" s="45"/>
      <c r="AG102" s="148"/>
      <c r="AH102" s="149"/>
      <c r="AI102" s="45"/>
      <c r="AK102" s="148"/>
      <c r="AL102" s="149"/>
      <c r="AM102" s="45"/>
      <c r="AO102" s="148"/>
      <c r="AP102" s="149"/>
      <c r="AQ102" s="45"/>
      <c r="AS102" s="148"/>
      <c r="AT102" s="149"/>
      <c r="AU102" s="45"/>
      <c r="AW102" s="148"/>
      <c r="AX102" s="149"/>
      <c r="AY102" s="45"/>
      <c r="BA102" s="148"/>
      <c r="BB102" s="149"/>
      <c r="BC102" s="45"/>
      <c r="BE102" s="148"/>
      <c r="BF102" s="149"/>
      <c r="BG102" s="45"/>
      <c r="BI102" s="148"/>
      <c r="BJ102" s="149"/>
      <c r="BK102" s="45"/>
      <c r="BM102" s="148"/>
      <c r="BN102" s="149"/>
      <c r="BO102" s="45"/>
      <c r="BQ102" s="148"/>
      <c r="BR102" s="149"/>
      <c r="BS102" s="45"/>
      <c r="BU102" s="148"/>
      <c r="BV102" s="149"/>
      <c r="BW102" s="45"/>
      <c r="BY102" s="148"/>
      <c r="BZ102" s="149"/>
      <c r="CA102" s="45"/>
      <c r="CC102" s="148"/>
      <c r="CD102" s="149"/>
      <c r="CE102" s="45"/>
      <c r="CG102" s="148"/>
      <c r="CH102" s="149"/>
      <c r="CI102" s="45"/>
    </row>
    <row r="103" ht="15.75" customHeight="1">
      <c r="A103" s="147"/>
      <c r="B103" s="140"/>
      <c r="C103" s="57"/>
      <c r="D103" s="140"/>
      <c r="E103" s="138"/>
      <c r="G103" s="52"/>
      <c r="I103" s="138"/>
      <c r="K103" s="52"/>
      <c r="M103" s="138"/>
      <c r="O103" s="52"/>
      <c r="Q103" s="138"/>
      <c r="S103" s="52"/>
      <c r="U103" s="138"/>
      <c r="W103" s="52"/>
      <c r="Y103" s="138"/>
      <c r="AA103" s="52"/>
      <c r="AC103" s="138"/>
      <c r="AE103" s="52"/>
      <c r="AG103" s="138"/>
      <c r="AI103" s="52"/>
      <c r="AK103" s="138"/>
      <c r="AM103" s="52"/>
      <c r="AO103" s="138"/>
      <c r="AQ103" s="52"/>
      <c r="AS103" s="138"/>
      <c r="AU103" s="52"/>
      <c r="AW103" s="138"/>
      <c r="AY103" s="52"/>
      <c r="BA103" s="138"/>
      <c r="BC103" s="52"/>
      <c r="BE103" s="138"/>
      <c r="BG103" s="52"/>
      <c r="BI103" s="138"/>
      <c r="BK103" s="52"/>
      <c r="BM103" s="138"/>
      <c r="BO103" s="52"/>
      <c r="BQ103" s="138"/>
      <c r="BS103" s="52"/>
      <c r="BU103" s="138"/>
      <c r="BW103" s="52"/>
      <c r="BY103" s="138"/>
      <c r="CA103" s="52"/>
      <c r="CC103" s="138"/>
      <c r="CE103" s="52"/>
      <c r="CG103" s="138"/>
      <c r="CI103" s="52"/>
    </row>
    <row r="104" ht="24.75" customHeight="1">
      <c r="A104" s="147"/>
      <c r="B104" s="173" t="s">
        <v>168</v>
      </c>
      <c r="C104" s="174" t="s">
        <v>165</v>
      </c>
      <c r="D104" s="175" t="s">
        <v>164</v>
      </c>
      <c r="E104" s="140"/>
      <c r="F104" s="56"/>
      <c r="G104" s="57"/>
      <c r="I104" s="140"/>
      <c r="J104" s="56"/>
      <c r="K104" s="57"/>
      <c r="M104" s="140"/>
      <c r="N104" s="56"/>
      <c r="O104" s="57"/>
      <c r="Q104" s="140"/>
      <c r="R104" s="56"/>
      <c r="S104" s="57"/>
      <c r="U104" s="140"/>
      <c r="V104" s="56"/>
      <c r="W104" s="57"/>
      <c r="Y104" s="140"/>
      <c r="Z104" s="56"/>
      <c r="AA104" s="57"/>
      <c r="AC104" s="140"/>
      <c r="AD104" s="56"/>
      <c r="AE104" s="57"/>
      <c r="AG104" s="140"/>
      <c r="AH104" s="56"/>
      <c r="AI104" s="57"/>
      <c r="AK104" s="140"/>
      <c r="AL104" s="56"/>
      <c r="AM104" s="57"/>
      <c r="AO104" s="140"/>
      <c r="AP104" s="56"/>
      <c r="AQ104" s="57"/>
      <c r="AS104" s="140"/>
      <c r="AT104" s="56"/>
      <c r="AU104" s="57"/>
      <c r="AW104" s="140"/>
      <c r="AX104" s="56"/>
      <c r="AY104" s="57"/>
      <c r="BA104" s="140"/>
      <c r="BB104" s="56"/>
      <c r="BC104" s="57"/>
      <c r="BE104" s="140"/>
      <c r="BF104" s="56"/>
      <c r="BG104" s="57"/>
      <c r="BI104" s="140"/>
      <c r="BJ104" s="56"/>
      <c r="BK104" s="57"/>
      <c r="BM104" s="140"/>
      <c r="BN104" s="56"/>
      <c r="BO104" s="57"/>
      <c r="BQ104" s="140"/>
      <c r="BR104" s="56"/>
      <c r="BS104" s="57"/>
      <c r="BU104" s="140"/>
      <c r="BV104" s="56"/>
      <c r="BW104" s="57"/>
      <c r="BY104" s="140"/>
      <c r="BZ104" s="56"/>
      <c r="CA104" s="57"/>
      <c r="CC104" s="140"/>
      <c r="CD104" s="56"/>
      <c r="CE104" s="57"/>
      <c r="CG104" s="140"/>
      <c r="CH104" s="56"/>
      <c r="CI104" s="57"/>
    </row>
    <row r="105" ht="25.5" customHeight="1">
      <c r="A105" s="139"/>
      <c r="B105" s="153">
        <v>3.0</v>
      </c>
      <c r="C105" s="177">
        <v>46007.0</v>
      </c>
      <c r="D105" s="155" t="s">
        <v>174</v>
      </c>
      <c r="E105" s="156" t="s">
        <v>171</v>
      </c>
      <c r="F105" s="38"/>
      <c r="G105" s="157"/>
      <c r="I105" s="156" t="s">
        <v>171</v>
      </c>
      <c r="J105" s="38"/>
      <c r="K105" s="157"/>
      <c r="M105" s="156" t="s">
        <v>171</v>
      </c>
      <c r="N105" s="38"/>
      <c r="O105" s="157"/>
      <c r="Q105" s="156" t="s">
        <v>171</v>
      </c>
      <c r="R105" s="38"/>
      <c r="S105" s="157"/>
      <c r="U105" s="156" t="s">
        <v>171</v>
      </c>
      <c r="V105" s="38"/>
      <c r="W105" s="157"/>
      <c r="Y105" s="156" t="s">
        <v>171</v>
      </c>
      <c r="Z105" s="38"/>
      <c r="AA105" s="157"/>
      <c r="AC105" s="156" t="s">
        <v>171</v>
      </c>
      <c r="AD105" s="38"/>
      <c r="AE105" s="157"/>
      <c r="AG105" s="156" t="s">
        <v>171</v>
      </c>
      <c r="AH105" s="38"/>
      <c r="AI105" s="157"/>
      <c r="AK105" s="156" t="s">
        <v>171</v>
      </c>
      <c r="AL105" s="38"/>
      <c r="AM105" s="157"/>
      <c r="AO105" s="156" t="s">
        <v>171</v>
      </c>
      <c r="AP105" s="38"/>
      <c r="AQ105" s="157"/>
      <c r="AS105" s="156" t="s">
        <v>171</v>
      </c>
      <c r="AT105" s="38"/>
      <c r="AU105" s="157"/>
      <c r="AW105" s="156" t="s">
        <v>171</v>
      </c>
      <c r="AX105" s="38"/>
      <c r="AY105" s="157"/>
      <c r="BA105" s="156" t="s">
        <v>171</v>
      </c>
      <c r="BB105" s="38"/>
      <c r="BC105" s="157"/>
      <c r="BE105" s="156" t="s">
        <v>171</v>
      </c>
      <c r="BF105" s="38"/>
      <c r="BG105" s="157"/>
      <c r="BI105" s="156" t="s">
        <v>171</v>
      </c>
      <c r="BJ105" s="38"/>
      <c r="BK105" s="157"/>
      <c r="BM105" s="156" t="s">
        <v>171</v>
      </c>
      <c r="BN105" s="38"/>
      <c r="BO105" s="157"/>
      <c r="BQ105" s="156" t="s">
        <v>171</v>
      </c>
      <c r="BR105" s="38"/>
      <c r="BS105" s="157"/>
      <c r="BU105" s="156" t="s">
        <v>171</v>
      </c>
      <c r="BV105" s="38"/>
      <c r="BW105" s="157"/>
      <c r="BY105" s="156" t="s">
        <v>171</v>
      </c>
      <c r="BZ105" s="38"/>
      <c r="CA105" s="157"/>
      <c r="CC105" s="156" t="s">
        <v>171</v>
      </c>
      <c r="CD105" s="38"/>
      <c r="CE105" s="157"/>
      <c r="CG105" s="156" t="s">
        <v>171</v>
      </c>
      <c r="CH105" s="38"/>
      <c r="CI105" s="157"/>
    </row>
    <row r="106" ht="9.75" customHeight="1">
      <c r="A106" s="166"/>
      <c r="E106" s="137"/>
      <c r="I106" s="137"/>
      <c r="M106" s="137"/>
      <c r="Q106" s="137"/>
      <c r="U106" s="137"/>
      <c r="Y106" s="137"/>
      <c r="AC106" s="137"/>
      <c r="AG106" s="137"/>
      <c r="AK106" s="137"/>
      <c r="AO106" s="137"/>
      <c r="AS106" s="137"/>
      <c r="AW106" s="137"/>
      <c r="BA106" s="137"/>
      <c r="BE106" s="137"/>
      <c r="BI106" s="137"/>
      <c r="BM106" s="137"/>
      <c r="BQ106" s="137"/>
      <c r="BU106" s="137"/>
      <c r="BY106" s="137"/>
      <c r="CC106" s="137"/>
      <c r="CG106" s="137"/>
    </row>
    <row r="107">
      <c r="A107" s="142" t="b">
        <v>0</v>
      </c>
      <c r="B107" s="160" t="s">
        <v>193</v>
      </c>
      <c r="C107" s="45"/>
      <c r="D107" s="172" t="s">
        <v>38</v>
      </c>
      <c r="E107" s="145" t="s">
        <v>167</v>
      </c>
      <c r="F107" s="146"/>
      <c r="G107" s="146"/>
      <c r="I107" s="145" t="s">
        <v>167</v>
      </c>
      <c r="J107" s="146"/>
      <c r="K107" s="146"/>
      <c r="M107" s="145" t="s">
        <v>167</v>
      </c>
      <c r="N107" s="146"/>
      <c r="O107" s="146"/>
      <c r="Q107" s="145" t="s">
        <v>167</v>
      </c>
      <c r="R107" s="146"/>
      <c r="S107" s="146"/>
      <c r="U107" s="145" t="s">
        <v>167</v>
      </c>
      <c r="V107" s="146"/>
      <c r="W107" s="146"/>
      <c r="Y107" s="145" t="s">
        <v>167</v>
      </c>
      <c r="Z107" s="146"/>
      <c r="AA107" s="146"/>
      <c r="AC107" s="145" t="s">
        <v>167</v>
      </c>
      <c r="AD107" s="146"/>
      <c r="AE107" s="146"/>
      <c r="AG107" s="145" t="s">
        <v>167</v>
      </c>
      <c r="AH107" s="146"/>
      <c r="AI107" s="146"/>
      <c r="AK107" s="145" t="s">
        <v>167</v>
      </c>
      <c r="AL107" s="146"/>
      <c r="AM107" s="146"/>
      <c r="AO107" s="145" t="s">
        <v>167</v>
      </c>
      <c r="AP107" s="146"/>
      <c r="AQ107" s="146"/>
      <c r="AS107" s="145" t="s">
        <v>167</v>
      </c>
      <c r="AT107" s="146"/>
      <c r="AU107" s="146"/>
      <c r="AW107" s="145" t="s">
        <v>167</v>
      </c>
      <c r="AX107" s="146"/>
      <c r="AY107" s="146"/>
      <c r="BA107" s="145" t="s">
        <v>167</v>
      </c>
      <c r="BB107" s="146"/>
      <c r="BC107" s="146"/>
      <c r="BE107" s="145" t="s">
        <v>167</v>
      </c>
      <c r="BF107" s="146"/>
      <c r="BG107" s="146"/>
      <c r="BI107" s="145" t="s">
        <v>167</v>
      </c>
      <c r="BJ107" s="146"/>
      <c r="BK107" s="146"/>
      <c r="BM107" s="145" t="s">
        <v>167</v>
      </c>
      <c r="BN107" s="146"/>
      <c r="BO107" s="146"/>
      <c r="BQ107" s="145" t="s">
        <v>167</v>
      </c>
      <c r="BR107" s="146"/>
      <c r="BS107" s="146"/>
      <c r="BU107" s="145" t="s">
        <v>167</v>
      </c>
      <c r="BV107" s="146"/>
      <c r="BW107" s="146"/>
      <c r="BY107" s="145" t="s">
        <v>167</v>
      </c>
      <c r="BZ107" s="146"/>
      <c r="CA107" s="146"/>
      <c r="CC107" s="145" t="s">
        <v>167</v>
      </c>
      <c r="CD107" s="146"/>
      <c r="CE107" s="146"/>
      <c r="CG107" s="145" t="s">
        <v>167</v>
      </c>
      <c r="CH107" s="146"/>
      <c r="CI107" s="146"/>
    </row>
    <row r="108">
      <c r="A108" s="147"/>
      <c r="B108" s="138"/>
      <c r="C108" s="52"/>
      <c r="D108" s="138"/>
      <c r="E108" s="139"/>
      <c r="F108" s="139"/>
      <c r="G108" s="139"/>
      <c r="I108" s="139"/>
      <c r="J108" s="139"/>
      <c r="K108" s="139"/>
      <c r="M108" s="139"/>
      <c r="N108" s="139"/>
      <c r="O108" s="139"/>
      <c r="Q108" s="139"/>
      <c r="R108" s="139"/>
      <c r="S108" s="139"/>
      <c r="U108" s="139"/>
      <c r="V108" s="139"/>
      <c r="W108" s="139"/>
      <c r="Y108" s="139"/>
      <c r="Z108" s="139"/>
      <c r="AA108" s="139"/>
      <c r="AC108" s="139"/>
      <c r="AD108" s="139"/>
      <c r="AE108" s="139"/>
      <c r="AG108" s="139"/>
      <c r="AH108" s="139"/>
      <c r="AI108" s="139"/>
      <c r="AK108" s="139"/>
      <c r="AL108" s="139"/>
      <c r="AM108" s="139"/>
      <c r="AO108" s="139"/>
      <c r="AP108" s="139"/>
      <c r="AQ108" s="139"/>
      <c r="AS108" s="139"/>
      <c r="AT108" s="139"/>
      <c r="AU108" s="139"/>
      <c r="AW108" s="139"/>
      <c r="AX108" s="139"/>
      <c r="AY108" s="139"/>
      <c r="BA108" s="139"/>
      <c r="BB108" s="139"/>
      <c r="BC108" s="139"/>
      <c r="BE108" s="139"/>
      <c r="BF108" s="139"/>
      <c r="BG108" s="139"/>
      <c r="BI108" s="139"/>
      <c r="BJ108" s="139"/>
      <c r="BK108" s="139"/>
      <c r="BM108" s="139"/>
      <c r="BN108" s="139"/>
      <c r="BO108" s="139"/>
      <c r="BQ108" s="139"/>
      <c r="BR108" s="139"/>
      <c r="BS108" s="139"/>
      <c r="BU108" s="139"/>
      <c r="BV108" s="139"/>
      <c r="BW108" s="139"/>
      <c r="BY108" s="139"/>
      <c r="BZ108" s="139"/>
      <c r="CA108" s="139"/>
      <c r="CC108" s="139"/>
      <c r="CD108" s="139"/>
      <c r="CE108" s="139"/>
      <c r="CG108" s="139"/>
      <c r="CH108" s="139"/>
      <c r="CI108" s="139"/>
    </row>
    <row r="109" ht="15.0" customHeight="1">
      <c r="A109" s="147"/>
      <c r="B109" s="138"/>
      <c r="C109" s="52"/>
      <c r="D109" s="138"/>
      <c r="E109" s="148"/>
      <c r="F109" s="149"/>
      <c r="G109" s="45"/>
      <c r="I109" s="148"/>
      <c r="J109" s="149"/>
      <c r="K109" s="45"/>
      <c r="M109" s="148"/>
      <c r="N109" s="149"/>
      <c r="O109" s="45"/>
      <c r="Q109" s="148"/>
      <c r="R109" s="149"/>
      <c r="S109" s="45"/>
      <c r="U109" s="148"/>
      <c r="V109" s="149"/>
      <c r="W109" s="45"/>
      <c r="Y109" s="148"/>
      <c r="Z109" s="149"/>
      <c r="AA109" s="45"/>
      <c r="AC109" s="148"/>
      <c r="AD109" s="149"/>
      <c r="AE109" s="45"/>
      <c r="AG109" s="148"/>
      <c r="AH109" s="149"/>
      <c r="AI109" s="45"/>
      <c r="AK109" s="148"/>
      <c r="AL109" s="149"/>
      <c r="AM109" s="45"/>
      <c r="AO109" s="148"/>
      <c r="AP109" s="149"/>
      <c r="AQ109" s="45"/>
      <c r="AS109" s="148"/>
      <c r="AT109" s="149"/>
      <c r="AU109" s="45"/>
      <c r="AW109" s="148"/>
      <c r="AX109" s="149"/>
      <c r="AY109" s="45"/>
      <c r="BA109" s="148"/>
      <c r="BB109" s="149"/>
      <c r="BC109" s="45"/>
      <c r="BE109" s="148"/>
      <c r="BF109" s="149"/>
      <c r="BG109" s="45"/>
      <c r="BI109" s="148"/>
      <c r="BJ109" s="149"/>
      <c r="BK109" s="45"/>
      <c r="BM109" s="148"/>
      <c r="BN109" s="149"/>
      <c r="BO109" s="45"/>
      <c r="BQ109" s="148"/>
      <c r="BR109" s="149"/>
      <c r="BS109" s="45"/>
      <c r="BU109" s="148"/>
      <c r="BV109" s="149"/>
      <c r="BW109" s="45"/>
      <c r="BY109" s="148"/>
      <c r="BZ109" s="149"/>
      <c r="CA109" s="45"/>
      <c r="CC109" s="148"/>
      <c r="CD109" s="149"/>
      <c r="CE109" s="45"/>
      <c r="CG109" s="148"/>
      <c r="CH109" s="149"/>
      <c r="CI109" s="45"/>
    </row>
    <row r="110" ht="15.0" customHeight="1">
      <c r="A110" s="147"/>
      <c r="B110" s="140"/>
      <c r="C110" s="57"/>
      <c r="D110" s="140"/>
      <c r="E110" s="138"/>
      <c r="G110" s="52"/>
      <c r="I110" s="138"/>
      <c r="K110" s="52"/>
      <c r="M110" s="138"/>
      <c r="O110" s="52"/>
      <c r="Q110" s="138"/>
      <c r="S110" s="52"/>
      <c r="U110" s="138"/>
      <c r="W110" s="52"/>
      <c r="Y110" s="138"/>
      <c r="AA110" s="52"/>
      <c r="AC110" s="138"/>
      <c r="AE110" s="52"/>
      <c r="AG110" s="138"/>
      <c r="AI110" s="52"/>
      <c r="AK110" s="138"/>
      <c r="AM110" s="52"/>
      <c r="AO110" s="138"/>
      <c r="AQ110" s="52"/>
      <c r="AS110" s="138"/>
      <c r="AU110" s="52"/>
      <c r="AW110" s="138"/>
      <c r="AY110" s="52"/>
      <c r="BA110" s="138"/>
      <c r="BC110" s="52"/>
      <c r="BE110" s="138"/>
      <c r="BG110" s="52"/>
      <c r="BI110" s="138"/>
      <c r="BK110" s="52"/>
      <c r="BM110" s="138"/>
      <c r="BO110" s="52"/>
      <c r="BQ110" s="138"/>
      <c r="BS110" s="52"/>
      <c r="BU110" s="138"/>
      <c r="BW110" s="52"/>
      <c r="BY110" s="138"/>
      <c r="CA110" s="52"/>
      <c r="CC110" s="138"/>
      <c r="CE110" s="52"/>
      <c r="CG110" s="138"/>
      <c r="CI110" s="52"/>
    </row>
    <row r="111" ht="22.5" customHeight="1">
      <c r="A111" s="147"/>
      <c r="B111" s="173" t="s">
        <v>168</v>
      </c>
      <c r="C111" s="174" t="s">
        <v>165</v>
      </c>
      <c r="D111" s="175" t="s">
        <v>164</v>
      </c>
      <c r="E111" s="140"/>
      <c r="F111" s="56"/>
      <c r="G111" s="57"/>
      <c r="I111" s="140"/>
      <c r="J111" s="56"/>
      <c r="K111" s="57"/>
      <c r="M111" s="140"/>
      <c r="N111" s="56"/>
      <c r="O111" s="57"/>
      <c r="Q111" s="140"/>
      <c r="R111" s="56"/>
      <c r="S111" s="57"/>
      <c r="U111" s="140"/>
      <c r="V111" s="56"/>
      <c r="W111" s="57"/>
      <c r="Y111" s="140"/>
      <c r="Z111" s="56"/>
      <c r="AA111" s="57"/>
      <c r="AC111" s="140"/>
      <c r="AD111" s="56"/>
      <c r="AE111" s="57"/>
      <c r="AG111" s="140"/>
      <c r="AH111" s="56"/>
      <c r="AI111" s="57"/>
      <c r="AK111" s="140"/>
      <c r="AL111" s="56"/>
      <c r="AM111" s="57"/>
      <c r="AO111" s="140"/>
      <c r="AP111" s="56"/>
      <c r="AQ111" s="57"/>
      <c r="AS111" s="140"/>
      <c r="AT111" s="56"/>
      <c r="AU111" s="57"/>
      <c r="AW111" s="140"/>
      <c r="AX111" s="56"/>
      <c r="AY111" s="57"/>
      <c r="BA111" s="140"/>
      <c r="BB111" s="56"/>
      <c r="BC111" s="57"/>
      <c r="BE111" s="140"/>
      <c r="BF111" s="56"/>
      <c r="BG111" s="57"/>
      <c r="BI111" s="140"/>
      <c r="BJ111" s="56"/>
      <c r="BK111" s="57"/>
      <c r="BM111" s="140"/>
      <c r="BN111" s="56"/>
      <c r="BO111" s="57"/>
      <c r="BQ111" s="140"/>
      <c r="BR111" s="56"/>
      <c r="BS111" s="57"/>
      <c r="BU111" s="140"/>
      <c r="BV111" s="56"/>
      <c r="BW111" s="57"/>
      <c r="BY111" s="140"/>
      <c r="BZ111" s="56"/>
      <c r="CA111" s="57"/>
      <c r="CC111" s="140"/>
      <c r="CD111" s="56"/>
      <c r="CE111" s="57"/>
      <c r="CG111" s="140"/>
      <c r="CH111" s="56"/>
      <c r="CI111" s="57"/>
    </row>
    <row r="112" ht="27.75" customHeight="1">
      <c r="A112" s="139"/>
      <c r="B112" s="153">
        <v>3.0</v>
      </c>
      <c r="C112" s="177">
        <v>46007.0</v>
      </c>
      <c r="D112" s="155" t="s">
        <v>174</v>
      </c>
      <c r="E112" s="156" t="s">
        <v>171</v>
      </c>
      <c r="F112" s="38"/>
      <c r="G112" s="157"/>
      <c r="I112" s="156" t="s">
        <v>171</v>
      </c>
      <c r="J112" s="38"/>
      <c r="K112" s="157"/>
      <c r="M112" s="156" t="s">
        <v>171</v>
      </c>
      <c r="N112" s="38"/>
      <c r="O112" s="157"/>
      <c r="Q112" s="156" t="s">
        <v>171</v>
      </c>
      <c r="R112" s="38"/>
      <c r="S112" s="157"/>
      <c r="U112" s="156" t="s">
        <v>171</v>
      </c>
      <c r="V112" s="38"/>
      <c r="W112" s="157"/>
      <c r="Y112" s="156" t="s">
        <v>171</v>
      </c>
      <c r="Z112" s="38"/>
      <c r="AA112" s="157"/>
      <c r="AC112" s="156" t="s">
        <v>171</v>
      </c>
      <c r="AD112" s="38"/>
      <c r="AE112" s="157"/>
      <c r="AG112" s="156" t="s">
        <v>171</v>
      </c>
      <c r="AH112" s="38"/>
      <c r="AI112" s="157"/>
      <c r="AK112" s="156" t="s">
        <v>171</v>
      </c>
      <c r="AL112" s="38"/>
      <c r="AM112" s="157"/>
      <c r="AO112" s="156" t="s">
        <v>171</v>
      </c>
      <c r="AP112" s="38"/>
      <c r="AQ112" s="157"/>
      <c r="AS112" s="156" t="s">
        <v>171</v>
      </c>
      <c r="AT112" s="38"/>
      <c r="AU112" s="157"/>
      <c r="AW112" s="156" t="s">
        <v>171</v>
      </c>
      <c r="AX112" s="38"/>
      <c r="AY112" s="157"/>
      <c r="BA112" s="156" t="s">
        <v>171</v>
      </c>
      <c r="BB112" s="38"/>
      <c r="BC112" s="157"/>
      <c r="BE112" s="156" t="s">
        <v>171</v>
      </c>
      <c r="BF112" s="38"/>
      <c r="BG112" s="157"/>
      <c r="BI112" s="156" t="s">
        <v>171</v>
      </c>
      <c r="BJ112" s="38"/>
      <c r="BK112" s="157"/>
      <c r="BM112" s="156" t="s">
        <v>171</v>
      </c>
      <c r="BN112" s="38"/>
      <c r="BO112" s="157"/>
      <c r="BQ112" s="156" t="s">
        <v>171</v>
      </c>
      <c r="BR112" s="38"/>
      <c r="BS112" s="157"/>
      <c r="BU112" s="156" t="s">
        <v>171</v>
      </c>
      <c r="BV112" s="38"/>
      <c r="BW112" s="157"/>
      <c r="BY112" s="156" t="s">
        <v>171</v>
      </c>
      <c r="BZ112" s="38"/>
      <c r="CA112" s="157"/>
      <c r="CC112" s="156" t="s">
        <v>171</v>
      </c>
      <c r="CD112" s="38"/>
      <c r="CE112" s="157"/>
      <c r="CG112" s="156" t="s">
        <v>171</v>
      </c>
      <c r="CH112" s="38"/>
      <c r="CI112" s="157"/>
    </row>
    <row r="113" ht="10.5" customHeight="1">
      <c r="A113" s="166"/>
      <c r="E113" s="137"/>
      <c r="I113" s="137"/>
      <c r="M113" s="137"/>
      <c r="Q113" s="137"/>
      <c r="U113" s="137"/>
      <c r="Y113" s="137"/>
      <c r="AC113" s="137"/>
      <c r="AG113" s="137"/>
      <c r="AK113" s="137"/>
      <c r="AO113" s="137"/>
      <c r="AS113" s="137"/>
      <c r="AW113" s="137"/>
      <c r="BA113" s="137"/>
      <c r="BE113" s="137"/>
      <c r="BI113" s="137"/>
      <c r="BM113" s="137"/>
      <c r="BQ113" s="137"/>
      <c r="BU113" s="137"/>
      <c r="BY113" s="137"/>
      <c r="CC113" s="137"/>
      <c r="CG113" s="137"/>
    </row>
    <row r="114">
      <c r="A114" s="142" t="b">
        <v>0</v>
      </c>
      <c r="B114" s="143" t="s">
        <v>194</v>
      </c>
      <c r="C114" s="45"/>
      <c r="D114" s="172" t="s">
        <v>38</v>
      </c>
      <c r="E114" s="145" t="s">
        <v>167</v>
      </c>
      <c r="F114" s="146"/>
      <c r="G114" s="146"/>
      <c r="I114" s="145" t="s">
        <v>167</v>
      </c>
      <c r="J114" s="146"/>
      <c r="K114" s="146"/>
      <c r="M114" s="145" t="s">
        <v>167</v>
      </c>
      <c r="N114" s="146"/>
      <c r="O114" s="146"/>
      <c r="Q114" s="145" t="s">
        <v>167</v>
      </c>
      <c r="R114" s="146"/>
      <c r="S114" s="146"/>
      <c r="U114" s="145" t="s">
        <v>167</v>
      </c>
      <c r="V114" s="146"/>
      <c r="W114" s="146"/>
      <c r="Y114" s="145" t="s">
        <v>167</v>
      </c>
      <c r="Z114" s="146"/>
      <c r="AA114" s="146"/>
      <c r="AC114" s="145" t="s">
        <v>167</v>
      </c>
      <c r="AD114" s="146"/>
      <c r="AE114" s="146"/>
      <c r="AG114" s="145" t="s">
        <v>167</v>
      </c>
      <c r="AH114" s="146"/>
      <c r="AI114" s="146"/>
      <c r="AK114" s="145" t="s">
        <v>167</v>
      </c>
      <c r="AL114" s="146"/>
      <c r="AM114" s="146"/>
      <c r="AO114" s="145" t="s">
        <v>167</v>
      </c>
      <c r="AP114" s="146"/>
      <c r="AQ114" s="146"/>
      <c r="AS114" s="145" t="s">
        <v>167</v>
      </c>
      <c r="AT114" s="146"/>
      <c r="AU114" s="146"/>
      <c r="AW114" s="145" t="s">
        <v>167</v>
      </c>
      <c r="AX114" s="146"/>
      <c r="AY114" s="146"/>
      <c r="BA114" s="145" t="s">
        <v>167</v>
      </c>
      <c r="BB114" s="146"/>
      <c r="BC114" s="146"/>
      <c r="BE114" s="145" t="s">
        <v>167</v>
      </c>
      <c r="BF114" s="146"/>
      <c r="BG114" s="146"/>
      <c r="BI114" s="145" t="s">
        <v>167</v>
      </c>
      <c r="BJ114" s="146"/>
      <c r="BK114" s="146"/>
      <c r="BM114" s="145" t="s">
        <v>167</v>
      </c>
      <c r="BN114" s="146"/>
      <c r="BO114" s="146"/>
      <c r="BQ114" s="145" t="s">
        <v>167</v>
      </c>
      <c r="BR114" s="146"/>
      <c r="BS114" s="146"/>
      <c r="BU114" s="145" t="s">
        <v>167</v>
      </c>
      <c r="BV114" s="146"/>
      <c r="BW114" s="146"/>
      <c r="BY114" s="145" t="s">
        <v>167</v>
      </c>
      <c r="BZ114" s="146"/>
      <c r="CA114" s="146"/>
      <c r="CC114" s="145" t="s">
        <v>167</v>
      </c>
      <c r="CD114" s="146"/>
      <c r="CE114" s="146"/>
      <c r="CG114" s="145" t="s">
        <v>167</v>
      </c>
      <c r="CH114" s="146"/>
      <c r="CI114" s="146"/>
    </row>
    <row r="115">
      <c r="A115" s="147"/>
      <c r="B115" s="138"/>
      <c r="C115" s="52"/>
      <c r="D115" s="138"/>
      <c r="E115" s="139"/>
      <c r="F115" s="139"/>
      <c r="G115" s="139"/>
      <c r="I115" s="139"/>
      <c r="J115" s="139"/>
      <c r="K115" s="139"/>
      <c r="M115" s="139"/>
      <c r="N115" s="139"/>
      <c r="O115" s="139"/>
      <c r="Q115" s="139"/>
      <c r="R115" s="139"/>
      <c r="S115" s="139"/>
      <c r="U115" s="139"/>
      <c r="V115" s="139"/>
      <c r="W115" s="139"/>
      <c r="Y115" s="139"/>
      <c r="Z115" s="139"/>
      <c r="AA115" s="139"/>
      <c r="AC115" s="139"/>
      <c r="AD115" s="139"/>
      <c r="AE115" s="139"/>
      <c r="AG115" s="139"/>
      <c r="AH115" s="139"/>
      <c r="AI115" s="139"/>
      <c r="AK115" s="139"/>
      <c r="AL115" s="139"/>
      <c r="AM115" s="139"/>
      <c r="AO115" s="139"/>
      <c r="AP115" s="139"/>
      <c r="AQ115" s="139"/>
      <c r="AS115" s="139"/>
      <c r="AT115" s="139"/>
      <c r="AU115" s="139"/>
      <c r="AW115" s="139"/>
      <c r="AX115" s="139"/>
      <c r="AY115" s="139"/>
      <c r="BA115" s="139"/>
      <c r="BB115" s="139"/>
      <c r="BC115" s="139"/>
      <c r="BE115" s="139"/>
      <c r="BF115" s="139"/>
      <c r="BG115" s="139"/>
      <c r="BI115" s="139"/>
      <c r="BJ115" s="139"/>
      <c r="BK115" s="139"/>
      <c r="BM115" s="139"/>
      <c r="BN115" s="139"/>
      <c r="BO115" s="139"/>
      <c r="BQ115" s="139"/>
      <c r="BR115" s="139"/>
      <c r="BS115" s="139"/>
      <c r="BU115" s="139"/>
      <c r="BV115" s="139"/>
      <c r="BW115" s="139"/>
      <c r="BY115" s="139"/>
      <c r="BZ115" s="139"/>
      <c r="CA115" s="139"/>
      <c r="CC115" s="139"/>
      <c r="CD115" s="139"/>
      <c r="CE115" s="139"/>
      <c r="CG115" s="139"/>
      <c r="CH115" s="139"/>
      <c r="CI115" s="139"/>
    </row>
    <row r="116" ht="19.5" customHeight="1">
      <c r="A116" s="147"/>
      <c r="B116" s="138"/>
      <c r="C116" s="52"/>
      <c r="D116" s="138"/>
      <c r="E116" s="148"/>
      <c r="F116" s="149"/>
      <c r="G116" s="45"/>
      <c r="I116" s="148"/>
      <c r="J116" s="149"/>
      <c r="K116" s="45"/>
      <c r="M116" s="148"/>
      <c r="N116" s="149"/>
      <c r="O116" s="45"/>
      <c r="Q116" s="148"/>
      <c r="R116" s="149"/>
      <c r="S116" s="45"/>
      <c r="U116" s="148"/>
      <c r="V116" s="149"/>
      <c r="W116" s="45"/>
      <c r="Y116" s="148"/>
      <c r="Z116" s="149"/>
      <c r="AA116" s="45"/>
      <c r="AC116" s="148"/>
      <c r="AD116" s="149"/>
      <c r="AE116" s="45"/>
      <c r="AG116" s="148"/>
      <c r="AH116" s="149"/>
      <c r="AI116" s="45"/>
      <c r="AK116" s="148"/>
      <c r="AL116" s="149"/>
      <c r="AM116" s="45"/>
      <c r="AO116" s="148"/>
      <c r="AP116" s="149"/>
      <c r="AQ116" s="45"/>
      <c r="AS116" s="148"/>
      <c r="AT116" s="149"/>
      <c r="AU116" s="45"/>
      <c r="AW116" s="148"/>
      <c r="AX116" s="149"/>
      <c r="AY116" s="45"/>
      <c r="BA116" s="148"/>
      <c r="BB116" s="149"/>
      <c r="BC116" s="45"/>
      <c r="BE116" s="148"/>
      <c r="BF116" s="149"/>
      <c r="BG116" s="45"/>
      <c r="BI116" s="148"/>
      <c r="BJ116" s="149"/>
      <c r="BK116" s="45"/>
      <c r="BM116" s="148"/>
      <c r="BN116" s="149"/>
      <c r="BO116" s="45"/>
      <c r="BQ116" s="148"/>
      <c r="BR116" s="149"/>
      <c r="BS116" s="45"/>
      <c r="BU116" s="148"/>
      <c r="BV116" s="149"/>
      <c r="BW116" s="45"/>
      <c r="BY116" s="148"/>
      <c r="BZ116" s="149"/>
      <c r="CA116" s="45"/>
      <c r="CC116" s="148"/>
      <c r="CD116" s="149"/>
      <c r="CE116" s="45"/>
      <c r="CG116" s="148"/>
      <c r="CH116" s="149"/>
      <c r="CI116" s="45"/>
    </row>
    <row r="117" ht="19.5" customHeight="1">
      <c r="A117" s="147"/>
      <c r="B117" s="140"/>
      <c r="C117" s="57"/>
      <c r="D117" s="140"/>
      <c r="E117" s="138"/>
      <c r="G117" s="52"/>
      <c r="I117" s="138"/>
      <c r="K117" s="52"/>
      <c r="M117" s="138"/>
      <c r="O117" s="52"/>
      <c r="Q117" s="138"/>
      <c r="S117" s="52"/>
      <c r="U117" s="138"/>
      <c r="W117" s="52"/>
      <c r="Y117" s="138"/>
      <c r="AA117" s="52"/>
      <c r="AC117" s="138"/>
      <c r="AE117" s="52"/>
      <c r="AG117" s="138"/>
      <c r="AI117" s="52"/>
      <c r="AK117" s="138"/>
      <c r="AM117" s="52"/>
      <c r="AO117" s="138"/>
      <c r="AQ117" s="52"/>
      <c r="AS117" s="138"/>
      <c r="AU117" s="52"/>
      <c r="AW117" s="138"/>
      <c r="AY117" s="52"/>
      <c r="BA117" s="138"/>
      <c r="BC117" s="52"/>
      <c r="BE117" s="138"/>
      <c r="BG117" s="52"/>
      <c r="BI117" s="138"/>
      <c r="BK117" s="52"/>
      <c r="BM117" s="138"/>
      <c r="BO117" s="52"/>
      <c r="BQ117" s="138"/>
      <c r="BS117" s="52"/>
      <c r="BU117" s="138"/>
      <c r="BW117" s="52"/>
      <c r="BY117" s="138"/>
      <c r="CA117" s="52"/>
      <c r="CC117" s="138"/>
      <c r="CE117" s="52"/>
      <c r="CG117" s="138"/>
      <c r="CI117" s="52"/>
    </row>
    <row r="118" ht="21.75" customHeight="1">
      <c r="A118" s="147"/>
      <c r="B118" s="173" t="s">
        <v>168</v>
      </c>
      <c r="C118" s="174" t="s">
        <v>165</v>
      </c>
      <c r="D118" s="175" t="s">
        <v>164</v>
      </c>
      <c r="E118" s="140"/>
      <c r="F118" s="56"/>
      <c r="G118" s="57"/>
      <c r="I118" s="140"/>
      <c r="J118" s="56"/>
      <c r="K118" s="57"/>
      <c r="M118" s="140"/>
      <c r="N118" s="56"/>
      <c r="O118" s="57"/>
      <c r="Q118" s="140"/>
      <c r="R118" s="56"/>
      <c r="S118" s="57"/>
      <c r="U118" s="140"/>
      <c r="V118" s="56"/>
      <c r="W118" s="57"/>
      <c r="Y118" s="140"/>
      <c r="Z118" s="56"/>
      <c r="AA118" s="57"/>
      <c r="AC118" s="140"/>
      <c r="AD118" s="56"/>
      <c r="AE118" s="57"/>
      <c r="AG118" s="140"/>
      <c r="AH118" s="56"/>
      <c r="AI118" s="57"/>
      <c r="AK118" s="140"/>
      <c r="AL118" s="56"/>
      <c r="AM118" s="57"/>
      <c r="AO118" s="140"/>
      <c r="AP118" s="56"/>
      <c r="AQ118" s="57"/>
      <c r="AS118" s="140"/>
      <c r="AT118" s="56"/>
      <c r="AU118" s="57"/>
      <c r="AW118" s="140"/>
      <c r="AX118" s="56"/>
      <c r="AY118" s="57"/>
      <c r="BA118" s="140"/>
      <c r="BB118" s="56"/>
      <c r="BC118" s="57"/>
      <c r="BE118" s="140"/>
      <c r="BF118" s="56"/>
      <c r="BG118" s="57"/>
      <c r="BI118" s="140"/>
      <c r="BJ118" s="56"/>
      <c r="BK118" s="57"/>
      <c r="BM118" s="140"/>
      <c r="BN118" s="56"/>
      <c r="BO118" s="57"/>
      <c r="BQ118" s="140"/>
      <c r="BR118" s="56"/>
      <c r="BS118" s="57"/>
      <c r="BU118" s="140"/>
      <c r="BV118" s="56"/>
      <c r="BW118" s="57"/>
      <c r="BY118" s="140"/>
      <c r="BZ118" s="56"/>
      <c r="CA118" s="57"/>
      <c r="CC118" s="140"/>
      <c r="CD118" s="56"/>
      <c r="CE118" s="57"/>
      <c r="CG118" s="140"/>
      <c r="CH118" s="56"/>
      <c r="CI118" s="57"/>
    </row>
    <row r="119" ht="30.0" customHeight="1">
      <c r="A119" s="139"/>
      <c r="B119" s="153">
        <v>3.0</v>
      </c>
      <c r="C119" s="177">
        <v>46007.0</v>
      </c>
      <c r="D119" s="155" t="s">
        <v>195</v>
      </c>
      <c r="E119" s="156" t="s">
        <v>171</v>
      </c>
      <c r="F119" s="38"/>
      <c r="G119" s="157"/>
      <c r="I119" s="156" t="s">
        <v>171</v>
      </c>
      <c r="J119" s="38"/>
      <c r="K119" s="157"/>
      <c r="M119" s="156" t="s">
        <v>171</v>
      </c>
      <c r="N119" s="38"/>
      <c r="O119" s="157"/>
      <c r="Q119" s="156" t="s">
        <v>171</v>
      </c>
      <c r="R119" s="38"/>
      <c r="S119" s="157"/>
      <c r="U119" s="156" t="s">
        <v>171</v>
      </c>
      <c r="V119" s="38"/>
      <c r="W119" s="157"/>
      <c r="Y119" s="156" t="s">
        <v>171</v>
      </c>
      <c r="Z119" s="38"/>
      <c r="AA119" s="157"/>
      <c r="AC119" s="156" t="s">
        <v>171</v>
      </c>
      <c r="AD119" s="38"/>
      <c r="AE119" s="157"/>
      <c r="AG119" s="156" t="s">
        <v>171</v>
      </c>
      <c r="AH119" s="38"/>
      <c r="AI119" s="157"/>
      <c r="AK119" s="156" t="s">
        <v>171</v>
      </c>
      <c r="AL119" s="38"/>
      <c r="AM119" s="157"/>
      <c r="AO119" s="156" t="s">
        <v>171</v>
      </c>
      <c r="AP119" s="38"/>
      <c r="AQ119" s="157"/>
      <c r="AS119" s="156" t="s">
        <v>171</v>
      </c>
      <c r="AT119" s="38"/>
      <c r="AU119" s="157"/>
      <c r="AW119" s="156" t="s">
        <v>171</v>
      </c>
      <c r="AX119" s="38"/>
      <c r="AY119" s="157"/>
      <c r="BA119" s="156" t="s">
        <v>171</v>
      </c>
      <c r="BB119" s="38"/>
      <c r="BC119" s="157"/>
      <c r="BE119" s="156" t="s">
        <v>171</v>
      </c>
      <c r="BF119" s="38"/>
      <c r="BG119" s="157"/>
      <c r="BI119" s="156" t="s">
        <v>171</v>
      </c>
      <c r="BJ119" s="38"/>
      <c r="BK119" s="157"/>
      <c r="BM119" s="156" t="s">
        <v>171</v>
      </c>
      <c r="BN119" s="38"/>
      <c r="BO119" s="157"/>
      <c r="BQ119" s="156" t="s">
        <v>171</v>
      </c>
      <c r="BR119" s="38"/>
      <c r="BS119" s="157"/>
      <c r="BU119" s="156" t="s">
        <v>171</v>
      </c>
      <c r="BV119" s="38"/>
      <c r="BW119" s="157"/>
      <c r="BY119" s="156" t="s">
        <v>171</v>
      </c>
      <c r="BZ119" s="38"/>
      <c r="CA119" s="157"/>
      <c r="CC119" s="156" t="s">
        <v>171</v>
      </c>
      <c r="CD119" s="38"/>
      <c r="CE119" s="157"/>
      <c r="CG119" s="156" t="s">
        <v>171</v>
      </c>
      <c r="CH119" s="38"/>
      <c r="CI119" s="157"/>
    </row>
    <row r="120" ht="9.75" customHeight="1">
      <c r="A120" s="166"/>
      <c r="E120" s="137"/>
      <c r="I120" s="137"/>
      <c r="M120" s="137"/>
      <c r="Q120" s="137"/>
      <c r="U120" s="137"/>
      <c r="Y120" s="137"/>
      <c r="AC120" s="137"/>
      <c r="AG120" s="137"/>
      <c r="AK120" s="137"/>
      <c r="AO120" s="137"/>
      <c r="AS120" s="137"/>
      <c r="AW120" s="137"/>
      <c r="BA120" s="137"/>
      <c r="BE120" s="137"/>
      <c r="BI120" s="137"/>
      <c r="BM120" s="137"/>
      <c r="BQ120" s="137"/>
      <c r="BU120" s="137"/>
      <c r="BY120" s="137"/>
      <c r="CC120" s="137"/>
      <c r="CG120" s="137"/>
    </row>
    <row r="121">
      <c r="A121" s="142" t="b">
        <v>0</v>
      </c>
      <c r="B121" s="143" t="s">
        <v>196</v>
      </c>
      <c r="C121" s="45"/>
      <c r="D121" s="172" t="s">
        <v>38</v>
      </c>
      <c r="E121" s="145" t="s">
        <v>167</v>
      </c>
      <c r="F121" s="146"/>
      <c r="G121" s="146"/>
      <c r="I121" s="145" t="s">
        <v>167</v>
      </c>
      <c r="J121" s="146"/>
      <c r="K121" s="146"/>
      <c r="M121" s="145" t="s">
        <v>167</v>
      </c>
      <c r="N121" s="146"/>
      <c r="O121" s="146"/>
      <c r="Q121" s="145" t="s">
        <v>167</v>
      </c>
      <c r="R121" s="146"/>
      <c r="S121" s="146"/>
      <c r="U121" s="145" t="s">
        <v>167</v>
      </c>
      <c r="V121" s="146"/>
      <c r="W121" s="146"/>
      <c r="Y121" s="145" t="s">
        <v>167</v>
      </c>
      <c r="Z121" s="146"/>
      <c r="AA121" s="146"/>
      <c r="AC121" s="145" t="s">
        <v>167</v>
      </c>
      <c r="AD121" s="146"/>
      <c r="AE121" s="146"/>
      <c r="AG121" s="145" t="s">
        <v>167</v>
      </c>
      <c r="AH121" s="146"/>
      <c r="AI121" s="146"/>
      <c r="AK121" s="145" t="s">
        <v>167</v>
      </c>
      <c r="AL121" s="146"/>
      <c r="AM121" s="146"/>
      <c r="AO121" s="145" t="s">
        <v>167</v>
      </c>
      <c r="AP121" s="146"/>
      <c r="AQ121" s="146"/>
      <c r="AS121" s="145" t="s">
        <v>167</v>
      </c>
      <c r="AT121" s="146"/>
      <c r="AU121" s="146"/>
      <c r="AW121" s="145" t="s">
        <v>167</v>
      </c>
      <c r="AX121" s="146"/>
      <c r="AY121" s="146"/>
      <c r="BA121" s="145" t="s">
        <v>167</v>
      </c>
      <c r="BB121" s="146"/>
      <c r="BC121" s="146"/>
      <c r="BE121" s="145" t="s">
        <v>167</v>
      </c>
      <c r="BF121" s="146"/>
      <c r="BG121" s="146"/>
      <c r="BI121" s="145" t="s">
        <v>167</v>
      </c>
      <c r="BJ121" s="146"/>
      <c r="BK121" s="146"/>
      <c r="BM121" s="145" t="s">
        <v>167</v>
      </c>
      <c r="BN121" s="146"/>
      <c r="BO121" s="146"/>
      <c r="BQ121" s="145" t="s">
        <v>167</v>
      </c>
      <c r="BR121" s="146"/>
      <c r="BS121" s="146"/>
      <c r="BU121" s="145" t="s">
        <v>167</v>
      </c>
      <c r="BV121" s="146"/>
      <c r="BW121" s="146"/>
      <c r="BY121" s="145" t="s">
        <v>167</v>
      </c>
      <c r="BZ121" s="146"/>
      <c r="CA121" s="146"/>
      <c r="CC121" s="145" t="s">
        <v>167</v>
      </c>
      <c r="CD121" s="146"/>
      <c r="CE121" s="146"/>
      <c r="CG121" s="145" t="s">
        <v>167</v>
      </c>
      <c r="CH121" s="146"/>
      <c r="CI121" s="146"/>
    </row>
    <row r="122">
      <c r="A122" s="147"/>
      <c r="B122" s="138"/>
      <c r="C122" s="52"/>
      <c r="D122" s="138"/>
      <c r="E122" s="139"/>
      <c r="F122" s="139"/>
      <c r="G122" s="139"/>
      <c r="I122" s="139"/>
      <c r="J122" s="139"/>
      <c r="K122" s="139"/>
      <c r="M122" s="139"/>
      <c r="N122" s="139"/>
      <c r="O122" s="139"/>
      <c r="Q122" s="139"/>
      <c r="R122" s="139"/>
      <c r="S122" s="139"/>
      <c r="U122" s="139"/>
      <c r="V122" s="139"/>
      <c r="W122" s="139"/>
      <c r="Y122" s="139"/>
      <c r="Z122" s="139"/>
      <c r="AA122" s="139"/>
      <c r="AC122" s="139"/>
      <c r="AD122" s="139"/>
      <c r="AE122" s="139"/>
      <c r="AG122" s="139"/>
      <c r="AH122" s="139"/>
      <c r="AI122" s="139"/>
      <c r="AK122" s="139"/>
      <c r="AL122" s="139"/>
      <c r="AM122" s="139"/>
      <c r="AO122" s="139"/>
      <c r="AP122" s="139"/>
      <c r="AQ122" s="139"/>
      <c r="AS122" s="139"/>
      <c r="AT122" s="139"/>
      <c r="AU122" s="139"/>
      <c r="AW122" s="139"/>
      <c r="AX122" s="139"/>
      <c r="AY122" s="139"/>
      <c r="BA122" s="139"/>
      <c r="BB122" s="139"/>
      <c r="BC122" s="139"/>
      <c r="BE122" s="139"/>
      <c r="BF122" s="139"/>
      <c r="BG122" s="139"/>
      <c r="BI122" s="139"/>
      <c r="BJ122" s="139"/>
      <c r="BK122" s="139"/>
      <c r="BM122" s="139"/>
      <c r="BN122" s="139"/>
      <c r="BO122" s="139"/>
      <c r="BQ122" s="139"/>
      <c r="BR122" s="139"/>
      <c r="BS122" s="139"/>
      <c r="BU122" s="139"/>
      <c r="BV122" s="139"/>
      <c r="BW122" s="139"/>
      <c r="BY122" s="139"/>
      <c r="BZ122" s="139"/>
      <c r="CA122" s="139"/>
      <c r="CC122" s="139"/>
      <c r="CD122" s="139"/>
      <c r="CE122" s="139"/>
      <c r="CG122" s="139"/>
      <c r="CH122" s="139"/>
      <c r="CI122" s="139"/>
    </row>
    <row r="123" ht="16.5" customHeight="1">
      <c r="A123" s="147"/>
      <c r="B123" s="138"/>
      <c r="C123" s="52"/>
      <c r="D123" s="138"/>
      <c r="E123" s="148"/>
      <c r="F123" s="149"/>
      <c r="G123" s="45"/>
      <c r="I123" s="148"/>
      <c r="J123" s="149"/>
      <c r="K123" s="45"/>
      <c r="M123" s="148"/>
      <c r="N123" s="149"/>
      <c r="O123" s="45"/>
      <c r="Q123" s="148"/>
      <c r="R123" s="149"/>
      <c r="S123" s="45"/>
      <c r="U123" s="148"/>
      <c r="V123" s="149"/>
      <c r="W123" s="45"/>
      <c r="Y123" s="148"/>
      <c r="Z123" s="149"/>
      <c r="AA123" s="45"/>
      <c r="AC123" s="148"/>
      <c r="AD123" s="149"/>
      <c r="AE123" s="45"/>
      <c r="AG123" s="148"/>
      <c r="AH123" s="149"/>
      <c r="AI123" s="45"/>
      <c r="AK123" s="148"/>
      <c r="AL123" s="149"/>
      <c r="AM123" s="45"/>
      <c r="AO123" s="148"/>
      <c r="AP123" s="149"/>
      <c r="AQ123" s="45"/>
      <c r="AS123" s="148"/>
      <c r="AT123" s="149"/>
      <c r="AU123" s="45"/>
      <c r="AW123" s="148"/>
      <c r="AX123" s="149"/>
      <c r="AY123" s="45"/>
      <c r="BA123" s="148"/>
      <c r="BB123" s="149"/>
      <c r="BC123" s="45"/>
      <c r="BE123" s="148"/>
      <c r="BF123" s="149"/>
      <c r="BG123" s="45"/>
      <c r="BI123" s="148"/>
      <c r="BJ123" s="149"/>
      <c r="BK123" s="45"/>
      <c r="BM123" s="148"/>
      <c r="BN123" s="149"/>
      <c r="BO123" s="45"/>
      <c r="BQ123" s="148"/>
      <c r="BR123" s="149"/>
      <c r="BS123" s="45"/>
      <c r="BU123" s="148"/>
      <c r="BV123" s="149"/>
      <c r="BW123" s="45"/>
      <c r="BY123" s="148"/>
      <c r="BZ123" s="149"/>
      <c r="CA123" s="45"/>
      <c r="CC123" s="148"/>
      <c r="CD123" s="149"/>
      <c r="CE123" s="45"/>
      <c r="CG123" s="148"/>
      <c r="CH123" s="149"/>
      <c r="CI123" s="45"/>
    </row>
    <row r="124" ht="16.5" customHeight="1">
      <c r="A124" s="147"/>
      <c r="B124" s="140"/>
      <c r="C124" s="57"/>
      <c r="D124" s="140"/>
      <c r="E124" s="138"/>
      <c r="G124" s="52"/>
      <c r="I124" s="138"/>
      <c r="K124" s="52"/>
      <c r="M124" s="138"/>
      <c r="O124" s="52"/>
      <c r="Q124" s="138"/>
      <c r="S124" s="52"/>
      <c r="U124" s="138"/>
      <c r="W124" s="52"/>
      <c r="Y124" s="138"/>
      <c r="AA124" s="52"/>
      <c r="AC124" s="138"/>
      <c r="AE124" s="52"/>
      <c r="AG124" s="138"/>
      <c r="AI124" s="52"/>
      <c r="AK124" s="138"/>
      <c r="AM124" s="52"/>
      <c r="AO124" s="138"/>
      <c r="AQ124" s="52"/>
      <c r="AS124" s="138"/>
      <c r="AU124" s="52"/>
      <c r="AW124" s="138"/>
      <c r="AY124" s="52"/>
      <c r="BA124" s="138"/>
      <c r="BC124" s="52"/>
      <c r="BE124" s="138"/>
      <c r="BG124" s="52"/>
      <c r="BI124" s="138"/>
      <c r="BK124" s="52"/>
      <c r="BM124" s="138"/>
      <c r="BO124" s="52"/>
      <c r="BQ124" s="138"/>
      <c r="BS124" s="52"/>
      <c r="BU124" s="138"/>
      <c r="BW124" s="52"/>
      <c r="BY124" s="138"/>
      <c r="CA124" s="52"/>
      <c r="CC124" s="138"/>
      <c r="CE124" s="52"/>
      <c r="CG124" s="138"/>
      <c r="CI124" s="52"/>
    </row>
    <row r="125" ht="24.75" customHeight="1">
      <c r="A125" s="147"/>
      <c r="B125" s="173" t="s">
        <v>168</v>
      </c>
      <c r="C125" s="174" t="s">
        <v>165</v>
      </c>
      <c r="D125" s="175" t="s">
        <v>164</v>
      </c>
      <c r="E125" s="140"/>
      <c r="F125" s="56"/>
      <c r="G125" s="57"/>
      <c r="I125" s="140"/>
      <c r="J125" s="56"/>
      <c r="K125" s="57"/>
      <c r="M125" s="140"/>
      <c r="N125" s="56"/>
      <c r="O125" s="57"/>
      <c r="Q125" s="140"/>
      <c r="R125" s="56"/>
      <c r="S125" s="57"/>
      <c r="U125" s="140"/>
      <c r="V125" s="56"/>
      <c r="W125" s="57"/>
      <c r="Y125" s="140"/>
      <c r="Z125" s="56"/>
      <c r="AA125" s="57"/>
      <c r="AC125" s="140"/>
      <c r="AD125" s="56"/>
      <c r="AE125" s="57"/>
      <c r="AG125" s="140"/>
      <c r="AH125" s="56"/>
      <c r="AI125" s="57"/>
      <c r="AK125" s="140"/>
      <c r="AL125" s="56"/>
      <c r="AM125" s="57"/>
      <c r="AO125" s="140"/>
      <c r="AP125" s="56"/>
      <c r="AQ125" s="57"/>
      <c r="AS125" s="140"/>
      <c r="AT125" s="56"/>
      <c r="AU125" s="57"/>
      <c r="AW125" s="140"/>
      <c r="AX125" s="56"/>
      <c r="AY125" s="57"/>
      <c r="BA125" s="140"/>
      <c r="BB125" s="56"/>
      <c r="BC125" s="57"/>
      <c r="BE125" s="140"/>
      <c r="BF125" s="56"/>
      <c r="BG125" s="57"/>
      <c r="BI125" s="140"/>
      <c r="BJ125" s="56"/>
      <c r="BK125" s="57"/>
      <c r="BM125" s="140"/>
      <c r="BN125" s="56"/>
      <c r="BO125" s="57"/>
      <c r="BQ125" s="140"/>
      <c r="BR125" s="56"/>
      <c r="BS125" s="57"/>
      <c r="BU125" s="140"/>
      <c r="BV125" s="56"/>
      <c r="BW125" s="57"/>
      <c r="BY125" s="140"/>
      <c r="BZ125" s="56"/>
      <c r="CA125" s="57"/>
      <c r="CC125" s="140"/>
      <c r="CD125" s="56"/>
      <c r="CE125" s="57"/>
      <c r="CG125" s="140"/>
      <c r="CH125" s="56"/>
      <c r="CI125" s="57"/>
    </row>
    <row r="126" ht="27.0" customHeight="1">
      <c r="A126" s="139"/>
      <c r="B126" s="153">
        <v>3.0</v>
      </c>
      <c r="C126" s="177">
        <v>46007.0</v>
      </c>
      <c r="D126" s="155" t="s">
        <v>174</v>
      </c>
      <c r="E126" s="156" t="s">
        <v>171</v>
      </c>
      <c r="F126" s="38"/>
      <c r="G126" s="157"/>
      <c r="I126" s="156" t="s">
        <v>171</v>
      </c>
      <c r="J126" s="38"/>
      <c r="K126" s="157"/>
      <c r="M126" s="156" t="s">
        <v>171</v>
      </c>
      <c r="N126" s="38"/>
      <c r="O126" s="157"/>
      <c r="Q126" s="156" t="s">
        <v>171</v>
      </c>
      <c r="R126" s="38"/>
      <c r="S126" s="157"/>
      <c r="U126" s="156" t="s">
        <v>171</v>
      </c>
      <c r="V126" s="38"/>
      <c r="W126" s="157"/>
      <c r="Y126" s="156" t="s">
        <v>171</v>
      </c>
      <c r="Z126" s="38"/>
      <c r="AA126" s="157"/>
      <c r="AC126" s="156" t="s">
        <v>171</v>
      </c>
      <c r="AD126" s="38"/>
      <c r="AE126" s="157"/>
      <c r="AG126" s="156" t="s">
        <v>171</v>
      </c>
      <c r="AH126" s="38"/>
      <c r="AI126" s="157"/>
      <c r="AK126" s="156" t="s">
        <v>171</v>
      </c>
      <c r="AL126" s="38"/>
      <c r="AM126" s="157"/>
      <c r="AO126" s="156" t="s">
        <v>171</v>
      </c>
      <c r="AP126" s="38"/>
      <c r="AQ126" s="157"/>
      <c r="AS126" s="156" t="s">
        <v>171</v>
      </c>
      <c r="AT126" s="38"/>
      <c r="AU126" s="157"/>
      <c r="AW126" s="156" t="s">
        <v>171</v>
      </c>
      <c r="AX126" s="38"/>
      <c r="AY126" s="157"/>
      <c r="BA126" s="156" t="s">
        <v>171</v>
      </c>
      <c r="BB126" s="38"/>
      <c r="BC126" s="157"/>
      <c r="BE126" s="156" t="s">
        <v>171</v>
      </c>
      <c r="BF126" s="38"/>
      <c r="BG126" s="157"/>
      <c r="BI126" s="156" t="s">
        <v>171</v>
      </c>
      <c r="BJ126" s="38"/>
      <c r="BK126" s="157"/>
      <c r="BM126" s="156" t="s">
        <v>171</v>
      </c>
      <c r="BN126" s="38"/>
      <c r="BO126" s="157"/>
      <c r="BQ126" s="156" t="s">
        <v>171</v>
      </c>
      <c r="BR126" s="38"/>
      <c r="BS126" s="157"/>
      <c r="BU126" s="156" t="s">
        <v>171</v>
      </c>
      <c r="BV126" s="38"/>
      <c r="BW126" s="157"/>
      <c r="BY126" s="156" t="s">
        <v>171</v>
      </c>
      <c r="BZ126" s="38"/>
      <c r="CA126" s="157"/>
      <c r="CC126" s="156" t="s">
        <v>171</v>
      </c>
      <c r="CD126" s="38"/>
      <c r="CE126" s="157"/>
      <c r="CG126" s="156" t="s">
        <v>171</v>
      </c>
      <c r="CH126" s="38"/>
      <c r="CI126" s="157"/>
    </row>
    <row r="127" ht="10.5" customHeight="1">
      <c r="A127" s="166"/>
      <c r="E127" s="137"/>
      <c r="I127" s="137"/>
      <c r="M127" s="137"/>
      <c r="Q127" s="137"/>
      <c r="U127" s="137"/>
      <c r="Y127" s="137"/>
      <c r="AC127" s="137"/>
      <c r="AG127" s="137"/>
      <c r="AK127" s="137"/>
      <c r="AO127" s="137"/>
      <c r="AS127" s="137"/>
      <c r="AW127" s="137"/>
      <c r="BA127" s="137"/>
      <c r="BE127" s="137"/>
      <c r="BI127" s="137"/>
      <c r="BM127" s="137"/>
      <c r="BQ127" s="137"/>
      <c r="BU127" s="137"/>
      <c r="BY127" s="137"/>
      <c r="CC127" s="137"/>
      <c r="CG127" s="137"/>
    </row>
    <row r="128">
      <c r="A128" s="142" t="b">
        <v>0</v>
      </c>
      <c r="B128" s="165" t="s">
        <v>197</v>
      </c>
      <c r="C128" s="45"/>
      <c r="D128" s="172" t="s">
        <v>38</v>
      </c>
      <c r="E128" s="145" t="s">
        <v>167</v>
      </c>
      <c r="F128" s="146"/>
      <c r="G128" s="146"/>
      <c r="I128" s="145" t="s">
        <v>167</v>
      </c>
      <c r="J128" s="146"/>
      <c r="K128" s="146"/>
      <c r="M128" s="145" t="s">
        <v>167</v>
      </c>
      <c r="N128" s="146"/>
      <c r="O128" s="146"/>
      <c r="Q128" s="145" t="s">
        <v>167</v>
      </c>
      <c r="R128" s="146"/>
      <c r="S128" s="146"/>
      <c r="U128" s="145" t="s">
        <v>167</v>
      </c>
      <c r="V128" s="146"/>
      <c r="W128" s="146"/>
      <c r="Y128" s="145" t="s">
        <v>167</v>
      </c>
      <c r="Z128" s="146"/>
      <c r="AA128" s="146"/>
      <c r="AC128" s="145" t="s">
        <v>167</v>
      </c>
      <c r="AD128" s="146"/>
      <c r="AE128" s="146"/>
      <c r="AG128" s="145" t="s">
        <v>167</v>
      </c>
      <c r="AH128" s="146"/>
      <c r="AI128" s="146"/>
      <c r="AK128" s="145" t="s">
        <v>167</v>
      </c>
      <c r="AL128" s="146"/>
      <c r="AM128" s="146"/>
      <c r="AO128" s="145" t="s">
        <v>167</v>
      </c>
      <c r="AP128" s="146"/>
      <c r="AQ128" s="146"/>
      <c r="AS128" s="145" t="s">
        <v>167</v>
      </c>
      <c r="AT128" s="146"/>
      <c r="AU128" s="146"/>
      <c r="AW128" s="145" t="s">
        <v>167</v>
      </c>
      <c r="AX128" s="146"/>
      <c r="AY128" s="146"/>
      <c r="BA128" s="145" t="s">
        <v>167</v>
      </c>
      <c r="BB128" s="146"/>
      <c r="BC128" s="146"/>
      <c r="BE128" s="145" t="s">
        <v>167</v>
      </c>
      <c r="BF128" s="146"/>
      <c r="BG128" s="146"/>
      <c r="BI128" s="145" t="s">
        <v>167</v>
      </c>
      <c r="BJ128" s="146"/>
      <c r="BK128" s="146"/>
      <c r="BM128" s="145" t="s">
        <v>167</v>
      </c>
      <c r="BN128" s="146"/>
      <c r="BO128" s="146"/>
      <c r="BQ128" s="145" t="s">
        <v>167</v>
      </c>
      <c r="BR128" s="146"/>
      <c r="BS128" s="146"/>
      <c r="BU128" s="145" t="s">
        <v>167</v>
      </c>
      <c r="BV128" s="146"/>
      <c r="BW128" s="146"/>
      <c r="BY128" s="145" t="s">
        <v>167</v>
      </c>
      <c r="BZ128" s="146"/>
      <c r="CA128" s="146"/>
      <c r="CC128" s="145" t="s">
        <v>167</v>
      </c>
      <c r="CD128" s="146"/>
      <c r="CE128" s="146"/>
      <c r="CG128" s="145" t="s">
        <v>167</v>
      </c>
      <c r="CH128" s="146"/>
      <c r="CI128" s="146"/>
    </row>
    <row r="129">
      <c r="A129" s="147"/>
      <c r="B129" s="138"/>
      <c r="C129" s="52"/>
      <c r="D129" s="138"/>
      <c r="E129" s="139"/>
      <c r="F129" s="139"/>
      <c r="G129" s="139"/>
      <c r="I129" s="139"/>
      <c r="J129" s="139"/>
      <c r="K129" s="139"/>
      <c r="M129" s="139"/>
      <c r="N129" s="139"/>
      <c r="O129" s="139"/>
      <c r="Q129" s="139"/>
      <c r="R129" s="139"/>
      <c r="S129" s="139"/>
      <c r="U129" s="139"/>
      <c r="V129" s="139"/>
      <c r="W129" s="139"/>
      <c r="Y129" s="139"/>
      <c r="Z129" s="139"/>
      <c r="AA129" s="139"/>
      <c r="AC129" s="139"/>
      <c r="AD129" s="139"/>
      <c r="AE129" s="139"/>
      <c r="AG129" s="139"/>
      <c r="AH129" s="139"/>
      <c r="AI129" s="139"/>
      <c r="AK129" s="139"/>
      <c r="AL129" s="139"/>
      <c r="AM129" s="139"/>
      <c r="AO129" s="139"/>
      <c r="AP129" s="139"/>
      <c r="AQ129" s="139"/>
      <c r="AS129" s="139"/>
      <c r="AT129" s="139"/>
      <c r="AU129" s="139"/>
      <c r="AW129" s="139"/>
      <c r="AX129" s="139"/>
      <c r="AY129" s="139"/>
      <c r="BA129" s="139"/>
      <c r="BB129" s="139"/>
      <c r="BC129" s="139"/>
      <c r="BE129" s="139"/>
      <c r="BF129" s="139"/>
      <c r="BG129" s="139"/>
      <c r="BI129" s="139"/>
      <c r="BJ129" s="139"/>
      <c r="BK129" s="139"/>
      <c r="BM129" s="139"/>
      <c r="BN129" s="139"/>
      <c r="BO129" s="139"/>
      <c r="BQ129" s="139"/>
      <c r="BR129" s="139"/>
      <c r="BS129" s="139"/>
      <c r="BU129" s="139"/>
      <c r="BV129" s="139"/>
      <c r="BW129" s="139"/>
      <c r="BY129" s="139"/>
      <c r="BZ129" s="139"/>
      <c r="CA129" s="139"/>
      <c r="CC129" s="139"/>
      <c r="CD129" s="139"/>
      <c r="CE129" s="139"/>
      <c r="CG129" s="139"/>
      <c r="CH129" s="139"/>
      <c r="CI129" s="139"/>
    </row>
    <row r="130" ht="13.5" customHeight="1">
      <c r="A130" s="147"/>
      <c r="B130" s="138"/>
      <c r="C130" s="52"/>
      <c r="D130" s="138"/>
      <c r="E130" s="148"/>
      <c r="F130" s="149"/>
      <c r="G130" s="45"/>
      <c r="I130" s="148"/>
      <c r="J130" s="149"/>
      <c r="K130" s="45"/>
      <c r="M130" s="148"/>
      <c r="N130" s="149"/>
      <c r="O130" s="45"/>
      <c r="Q130" s="148"/>
      <c r="R130" s="149"/>
      <c r="S130" s="45"/>
      <c r="U130" s="148"/>
      <c r="V130" s="149"/>
      <c r="W130" s="45"/>
      <c r="Y130" s="148"/>
      <c r="Z130" s="149"/>
      <c r="AA130" s="45"/>
      <c r="AC130" s="148"/>
      <c r="AD130" s="149"/>
      <c r="AE130" s="45"/>
      <c r="AG130" s="148"/>
      <c r="AH130" s="149"/>
      <c r="AI130" s="45"/>
      <c r="AK130" s="148"/>
      <c r="AL130" s="149"/>
      <c r="AM130" s="45"/>
      <c r="AO130" s="148"/>
      <c r="AP130" s="149"/>
      <c r="AQ130" s="45"/>
      <c r="AS130" s="148"/>
      <c r="AT130" s="149"/>
      <c r="AU130" s="45"/>
      <c r="AW130" s="148"/>
      <c r="AX130" s="149"/>
      <c r="AY130" s="45"/>
      <c r="BA130" s="148"/>
      <c r="BB130" s="149"/>
      <c r="BC130" s="45"/>
      <c r="BE130" s="148"/>
      <c r="BF130" s="149"/>
      <c r="BG130" s="45"/>
      <c r="BI130" s="148"/>
      <c r="BJ130" s="149"/>
      <c r="BK130" s="45"/>
      <c r="BM130" s="148"/>
      <c r="BN130" s="149"/>
      <c r="BO130" s="45"/>
      <c r="BQ130" s="148"/>
      <c r="BR130" s="149"/>
      <c r="BS130" s="45"/>
      <c r="BU130" s="148"/>
      <c r="BV130" s="149"/>
      <c r="BW130" s="45"/>
      <c r="BY130" s="148"/>
      <c r="BZ130" s="149"/>
      <c r="CA130" s="45"/>
      <c r="CC130" s="148"/>
      <c r="CD130" s="149"/>
      <c r="CE130" s="45"/>
      <c r="CG130" s="148"/>
      <c r="CH130" s="149"/>
      <c r="CI130" s="45"/>
    </row>
    <row r="131" ht="13.5" customHeight="1">
      <c r="A131" s="147"/>
      <c r="B131" s="140"/>
      <c r="C131" s="57"/>
      <c r="D131" s="140"/>
      <c r="E131" s="138"/>
      <c r="G131" s="52"/>
      <c r="I131" s="138"/>
      <c r="K131" s="52"/>
      <c r="M131" s="138"/>
      <c r="O131" s="52"/>
      <c r="Q131" s="138"/>
      <c r="S131" s="52"/>
      <c r="U131" s="138"/>
      <c r="W131" s="52"/>
      <c r="Y131" s="138"/>
      <c r="AA131" s="52"/>
      <c r="AC131" s="138"/>
      <c r="AE131" s="52"/>
      <c r="AG131" s="138"/>
      <c r="AI131" s="52"/>
      <c r="AK131" s="138"/>
      <c r="AM131" s="52"/>
      <c r="AO131" s="138"/>
      <c r="AQ131" s="52"/>
      <c r="AS131" s="138"/>
      <c r="AU131" s="52"/>
      <c r="AW131" s="138"/>
      <c r="AY131" s="52"/>
      <c r="BA131" s="138"/>
      <c r="BC131" s="52"/>
      <c r="BE131" s="138"/>
      <c r="BG131" s="52"/>
      <c r="BI131" s="138"/>
      <c r="BK131" s="52"/>
      <c r="BM131" s="138"/>
      <c r="BO131" s="52"/>
      <c r="BQ131" s="138"/>
      <c r="BS131" s="52"/>
      <c r="BU131" s="138"/>
      <c r="BW131" s="52"/>
      <c r="BY131" s="138"/>
      <c r="CA131" s="52"/>
      <c r="CC131" s="138"/>
      <c r="CE131" s="52"/>
      <c r="CG131" s="138"/>
      <c r="CI131" s="52"/>
    </row>
    <row r="132" ht="22.5" customHeight="1">
      <c r="A132" s="147"/>
      <c r="B132" s="173" t="s">
        <v>168</v>
      </c>
      <c r="C132" s="174" t="s">
        <v>165</v>
      </c>
      <c r="D132" s="175" t="s">
        <v>164</v>
      </c>
      <c r="E132" s="140"/>
      <c r="F132" s="56"/>
      <c r="G132" s="57"/>
      <c r="I132" s="140"/>
      <c r="J132" s="56"/>
      <c r="K132" s="57"/>
      <c r="M132" s="140"/>
      <c r="N132" s="56"/>
      <c r="O132" s="57"/>
      <c r="Q132" s="140"/>
      <c r="R132" s="56"/>
      <c r="S132" s="57"/>
      <c r="U132" s="140"/>
      <c r="V132" s="56"/>
      <c r="W132" s="57"/>
      <c r="Y132" s="140"/>
      <c r="Z132" s="56"/>
      <c r="AA132" s="57"/>
      <c r="AC132" s="140"/>
      <c r="AD132" s="56"/>
      <c r="AE132" s="57"/>
      <c r="AG132" s="140"/>
      <c r="AH132" s="56"/>
      <c r="AI132" s="57"/>
      <c r="AK132" s="140"/>
      <c r="AL132" s="56"/>
      <c r="AM132" s="57"/>
      <c r="AO132" s="140"/>
      <c r="AP132" s="56"/>
      <c r="AQ132" s="57"/>
      <c r="AS132" s="140"/>
      <c r="AT132" s="56"/>
      <c r="AU132" s="57"/>
      <c r="AW132" s="140"/>
      <c r="AX132" s="56"/>
      <c r="AY132" s="57"/>
      <c r="BA132" s="140"/>
      <c r="BB132" s="56"/>
      <c r="BC132" s="57"/>
      <c r="BE132" s="140"/>
      <c r="BF132" s="56"/>
      <c r="BG132" s="57"/>
      <c r="BI132" s="140"/>
      <c r="BJ132" s="56"/>
      <c r="BK132" s="57"/>
      <c r="BM132" s="140"/>
      <c r="BN132" s="56"/>
      <c r="BO132" s="57"/>
      <c r="BQ132" s="140"/>
      <c r="BR132" s="56"/>
      <c r="BS132" s="57"/>
      <c r="BU132" s="140"/>
      <c r="BV132" s="56"/>
      <c r="BW132" s="57"/>
      <c r="BY132" s="140"/>
      <c r="BZ132" s="56"/>
      <c r="CA132" s="57"/>
      <c r="CC132" s="140"/>
      <c r="CD132" s="56"/>
      <c r="CE132" s="57"/>
      <c r="CG132" s="140"/>
      <c r="CH132" s="56"/>
      <c r="CI132" s="57"/>
    </row>
    <row r="133" ht="24.75" customHeight="1">
      <c r="A133" s="139"/>
      <c r="B133" s="153">
        <v>3.0</v>
      </c>
      <c r="C133" s="177">
        <v>46007.0</v>
      </c>
      <c r="D133" s="155" t="s">
        <v>179</v>
      </c>
      <c r="E133" s="156" t="s">
        <v>171</v>
      </c>
      <c r="F133" s="38"/>
      <c r="G133" s="157"/>
      <c r="I133" s="156" t="s">
        <v>171</v>
      </c>
      <c r="J133" s="38"/>
      <c r="K133" s="157"/>
      <c r="M133" s="156" t="s">
        <v>171</v>
      </c>
      <c r="N133" s="38"/>
      <c r="O133" s="157"/>
      <c r="Q133" s="156" t="s">
        <v>171</v>
      </c>
      <c r="R133" s="38"/>
      <c r="S133" s="157"/>
      <c r="U133" s="156" t="s">
        <v>171</v>
      </c>
      <c r="V133" s="38"/>
      <c r="W133" s="157"/>
      <c r="Y133" s="156" t="s">
        <v>171</v>
      </c>
      <c r="Z133" s="38"/>
      <c r="AA133" s="157"/>
      <c r="AC133" s="156" t="s">
        <v>171</v>
      </c>
      <c r="AD133" s="38"/>
      <c r="AE133" s="157"/>
      <c r="AG133" s="156" t="s">
        <v>171</v>
      </c>
      <c r="AH133" s="38"/>
      <c r="AI133" s="157"/>
      <c r="AK133" s="156" t="s">
        <v>171</v>
      </c>
      <c r="AL133" s="38"/>
      <c r="AM133" s="157"/>
      <c r="AO133" s="156" t="s">
        <v>171</v>
      </c>
      <c r="AP133" s="38"/>
      <c r="AQ133" s="157"/>
      <c r="AS133" s="156" t="s">
        <v>171</v>
      </c>
      <c r="AT133" s="38"/>
      <c r="AU133" s="157"/>
      <c r="AW133" s="156" t="s">
        <v>171</v>
      </c>
      <c r="AX133" s="38"/>
      <c r="AY133" s="157"/>
      <c r="BA133" s="156" t="s">
        <v>171</v>
      </c>
      <c r="BB133" s="38"/>
      <c r="BC133" s="157"/>
      <c r="BE133" s="156" t="s">
        <v>171</v>
      </c>
      <c r="BF133" s="38"/>
      <c r="BG133" s="157"/>
      <c r="BI133" s="156" t="s">
        <v>171</v>
      </c>
      <c r="BJ133" s="38"/>
      <c r="BK133" s="157"/>
      <c r="BM133" s="156" t="s">
        <v>171</v>
      </c>
      <c r="BN133" s="38"/>
      <c r="BO133" s="157"/>
      <c r="BQ133" s="156" t="s">
        <v>171</v>
      </c>
      <c r="BR133" s="38"/>
      <c r="BS133" s="157"/>
      <c r="BU133" s="156" t="s">
        <v>171</v>
      </c>
      <c r="BV133" s="38"/>
      <c r="BW133" s="157"/>
      <c r="BY133" s="156" t="s">
        <v>171</v>
      </c>
      <c r="BZ133" s="38"/>
      <c r="CA133" s="157"/>
      <c r="CC133" s="156" t="s">
        <v>171</v>
      </c>
      <c r="CD133" s="38"/>
      <c r="CE133" s="157"/>
      <c r="CG133" s="156" t="s">
        <v>171</v>
      </c>
      <c r="CH133" s="38"/>
      <c r="CI133" s="157"/>
    </row>
    <row r="134" ht="9.75" customHeight="1">
      <c r="A134" s="166"/>
      <c r="E134" s="137"/>
      <c r="I134" s="137"/>
      <c r="M134" s="137"/>
      <c r="Q134" s="137"/>
      <c r="U134" s="137"/>
      <c r="Y134" s="137"/>
      <c r="AC134" s="137"/>
      <c r="AG134" s="137"/>
      <c r="AK134" s="137"/>
      <c r="AO134" s="137"/>
      <c r="AS134" s="137"/>
      <c r="AW134" s="137"/>
      <c r="BA134" s="137"/>
      <c r="BE134" s="137"/>
      <c r="BI134" s="137"/>
      <c r="BM134" s="137"/>
      <c r="BQ134" s="137"/>
      <c r="BU134" s="137"/>
      <c r="BY134" s="137"/>
      <c r="CC134" s="137"/>
      <c r="CG134" s="137"/>
    </row>
    <row r="135">
      <c r="A135" s="142" t="b">
        <v>0</v>
      </c>
      <c r="B135" s="165" t="s">
        <v>198</v>
      </c>
      <c r="C135" s="45"/>
      <c r="D135" s="172" t="s">
        <v>38</v>
      </c>
      <c r="E135" s="145" t="s">
        <v>167</v>
      </c>
      <c r="F135" s="146"/>
      <c r="G135" s="146"/>
      <c r="I135" s="145" t="s">
        <v>167</v>
      </c>
      <c r="J135" s="146"/>
      <c r="K135" s="146"/>
      <c r="M135" s="145" t="s">
        <v>167</v>
      </c>
      <c r="N135" s="146"/>
      <c r="O135" s="146"/>
      <c r="Q135" s="145" t="s">
        <v>167</v>
      </c>
      <c r="R135" s="146"/>
      <c r="S135" s="146"/>
      <c r="U135" s="145" t="s">
        <v>167</v>
      </c>
      <c r="V135" s="146"/>
      <c r="W135" s="146"/>
      <c r="Y135" s="145" t="s">
        <v>167</v>
      </c>
      <c r="Z135" s="146"/>
      <c r="AA135" s="146"/>
      <c r="AC135" s="145" t="s">
        <v>167</v>
      </c>
      <c r="AD135" s="146"/>
      <c r="AE135" s="146"/>
      <c r="AG135" s="145" t="s">
        <v>167</v>
      </c>
      <c r="AH135" s="146"/>
      <c r="AI135" s="146"/>
      <c r="AK135" s="145" t="s">
        <v>167</v>
      </c>
      <c r="AL135" s="146"/>
      <c r="AM135" s="146"/>
      <c r="AO135" s="145" t="s">
        <v>167</v>
      </c>
      <c r="AP135" s="146"/>
      <c r="AQ135" s="146"/>
      <c r="AS135" s="145" t="s">
        <v>167</v>
      </c>
      <c r="AT135" s="146"/>
      <c r="AU135" s="146"/>
      <c r="AW135" s="145" t="s">
        <v>167</v>
      </c>
      <c r="AX135" s="146"/>
      <c r="AY135" s="146"/>
      <c r="BA135" s="145" t="s">
        <v>167</v>
      </c>
      <c r="BB135" s="146"/>
      <c r="BC135" s="146"/>
      <c r="BE135" s="145" t="s">
        <v>167</v>
      </c>
      <c r="BF135" s="146"/>
      <c r="BG135" s="146"/>
      <c r="BI135" s="145" t="s">
        <v>167</v>
      </c>
      <c r="BJ135" s="146"/>
      <c r="BK135" s="146"/>
      <c r="BM135" s="145" t="s">
        <v>167</v>
      </c>
      <c r="BN135" s="146"/>
      <c r="BO135" s="146"/>
      <c r="BQ135" s="145" t="s">
        <v>167</v>
      </c>
      <c r="BR135" s="146"/>
      <c r="BS135" s="146"/>
      <c r="BU135" s="145" t="s">
        <v>167</v>
      </c>
      <c r="BV135" s="146"/>
      <c r="BW135" s="146"/>
      <c r="BY135" s="145" t="s">
        <v>167</v>
      </c>
      <c r="BZ135" s="146"/>
      <c r="CA135" s="146"/>
      <c r="CC135" s="145" t="s">
        <v>167</v>
      </c>
      <c r="CD135" s="146"/>
      <c r="CE135" s="146"/>
      <c r="CG135" s="145" t="s">
        <v>167</v>
      </c>
      <c r="CH135" s="146"/>
      <c r="CI135" s="146"/>
    </row>
    <row r="136">
      <c r="A136" s="147"/>
      <c r="B136" s="138"/>
      <c r="C136" s="52"/>
      <c r="D136" s="138"/>
      <c r="E136" s="139"/>
      <c r="F136" s="139"/>
      <c r="G136" s="139"/>
      <c r="I136" s="139"/>
      <c r="J136" s="139"/>
      <c r="K136" s="139"/>
      <c r="M136" s="139"/>
      <c r="N136" s="139"/>
      <c r="O136" s="139"/>
      <c r="Q136" s="139"/>
      <c r="R136" s="139"/>
      <c r="S136" s="139"/>
      <c r="U136" s="139"/>
      <c r="V136" s="139"/>
      <c r="W136" s="139"/>
      <c r="Y136" s="139"/>
      <c r="Z136" s="139"/>
      <c r="AA136" s="139"/>
      <c r="AC136" s="139"/>
      <c r="AD136" s="139"/>
      <c r="AE136" s="139"/>
      <c r="AG136" s="139"/>
      <c r="AH136" s="139"/>
      <c r="AI136" s="139"/>
      <c r="AK136" s="139"/>
      <c r="AL136" s="139"/>
      <c r="AM136" s="139"/>
      <c r="AO136" s="139"/>
      <c r="AP136" s="139"/>
      <c r="AQ136" s="139"/>
      <c r="AS136" s="139"/>
      <c r="AT136" s="139"/>
      <c r="AU136" s="139"/>
      <c r="AW136" s="139"/>
      <c r="AX136" s="139"/>
      <c r="AY136" s="139"/>
      <c r="BA136" s="139"/>
      <c r="BB136" s="139"/>
      <c r="BC136" s="139"/>
      <c r="BE136" s="139"/>
      <c r="BF136" s="139"/>
      <c r="BG136" s="139"/>
      <c r="BI136" s="139"/>
      <c r="BJ136" s="139"/>
      <c r="BK136" s="139"/>
      <c r="BM136" s="139"/>
      <c r="BN136" s="139"/>
      <c r="BO136" s="139"/>
      <c r="BQ136" s="139"/>
      <c r="BR136" s="139"/>
      <c r="BS136" s="139"/>
      <c r="BU136" s="139"/>
      <c r="BV136" s="139"/>
      <c r="BW136" s="139"/>
      <c r="BY136" s="139"/>
      <c r="BZ136" s="139"/>
      <c r="CA136" s="139"/>
      <c r="CC136" s="139"/>
      <c r="CD136" s="139"/>
      <c r="CE136" s="139"/>
      <c r="CG136" s="139"/>
      <c r="CH136" s="139"/>
      <c r="CI136" s="139"/>
    </row>
    <row r="137" ht="12.0" customHeight="1">
      <c r="A137" s="147"/>
      <c r="B137" s="138"/>
      <c r="C137" s="52"/>
      <c r="D137" s="138"/>
      <c r="E137" s="148"/>
      <c r="F137" s="149"/>
      <c r="G137" s="45"/>
      <c r="I137" s="148"/>
      <c r="J137" s="149"/>
      <c r="K137" s="45"/>
      <c r="M137" s="148"/>
      <c r="N137" s="149"/>
      <c r="O137" s="45"/>
      <c r="Q137" s="148"/>
      <c r="R137" s="149"/>
      <c r="S137" s="45"/>
      <c r="U137" s="148"/>
      <c r="V137" s="149"/>
      <c r="W137" s="45"/>
      <c r="Y137" s="148"/>
      <c r="Z137" s="149"/>
      <c r="AA137" s="45"/>
      <c r="AC137" s="148"/>
      <c r="AD137" s="149"/>
      <c r="AE137" s="45"/>
      <c r="AG137" s="148"/>
      <c r="AH137" s="149"/>
      <c r="AI137" s="45"/>
      <c r="AK137" s="148"/>
      <c r="AL137" s="149"/>
      <c r="AM137" s="45"/>
      <c r="AO137" s="148"/>
      <c r="AP137" s="149"/>
      <c r="AQ137" s="45"/>
      <c r="AS137" s="148"/>
      <c r="AT137" s="149"/>
      <c r="AU137" s="45"/>
      <c r="AW137" s="148"/>
      <c r="AX137" s="149"/>
      <c r="AY137" s="45"/>
      <c r="BA137" s="148"/>
      <c r="BB137" s="149"/>
      <c r="BC137" s="45"/>
      <c r="BE137" s="148"/>
      <c r="BF137" s="149"/>
      <c r="BG137" s="45"/>
      <c r="BI137" s="148"/>
      <c r="BJ137" s="149"/>
      <c r="BK137" s="45"/>
      <c r="BM137" s="148"/>
      <c r="BN137" s="149"/>
      <c r="BO137" s="45"/>
      <c r="BQ137" s="148"/>
      <c r="BR137" s="149"/>
      <c r="BS137" s="45"/>
      <c r="BU137" s="148"/>
      <c r="BV137" s="149"/>
      <c r="BW137" s="45"/>
      <c r="BY137" s="148"/>
      <c r="BZ137" s="149"/>
      <c r="CA137" s="45"/>
      <c r="CC137" s="148"/>
      <c r="CD137" s="149"/>
      <c r="CE137" s="45"/>
      <c r="CG137" s="148"/>
      <c r="CH137" s="149"/>
      <c r="CI137" s="45"/>
    </row>
    <row r="138" ht="12.0" customHeight="1">
      <c r="A138" s="147"/>
      <c r="B138" s="140"/>
      <c r="C138" s="57"/>
      <c r="D138" s="140"/>
      <c r="E138" s="138"/>
      <c r="G138" s="52"/>
      <c r="I138" s="138"/>
      <c r="K138" s="52"/>
      <c r="M138" s="138"/>
      <c r="O138" s="52"/>
      <c r="Q138" s="138"/>
      <c r="S138" s="52"/>
      <c r="U138" s="138"/>
      <c r="W138" s="52"/>
      <c r="Y138" s="138"/>
      <c r="AA138" s="52"/>
      <c r="AC138" s="138"/>
      <c r="AE138" s="52"/>
      <c r="AG138" s="138"/>
      <c r="AI138" s="52"/>
      <c r="AK138" s="138"/>
      <c r="AM138" s="52"/>
      <c r="AO138" s="138"/>
      <c r="AQ138" s="52"/>
      <c r="AS138" s="138"/>
      <c r="AU138" s="52"/>
      <c r="AW138" s="138"/>
      <c r="AY138" s="52"/>
      <c r="BA138" s="138"/>
      <c r="BC138" s="52"/>
      <c r="BE138" s="138"/>
      <c r="BG138" s="52"/>
      <c r="BI138" s="138"/>
      <c r="BK138" s="52"/>
      <c r="BM138" s="138"/>
      <c r="BO138" s="52"/>
      <c r="BQ138" s="138"/>
      <c r="BS138" s="52"/>
      <c r="BU138" s="138"/>
      <c r="BW138" s="52"/>
      <c r="BY138" s="138"/>
      <c r="CA138" s="52"/>
      <c r="CC138" s="138"/>
      <c r="CE138" s="52"/>
      <c r="CG138" s="138"/>
      <c r="CI138" s="52"/>
    </row>
    <row r="139" ht="23.25" customHeight="1">
      <c r="A139" s="147"/>
      <c r="B139" s="173" t="s">
        <v>168</v>
      </c>
      <c r="C139" s="174" t="s">
        <v>165</v>
      </c>
      <c r="D139" s="175" t="s">
        <v>164</v>
      </c>
      <c r="E139" s="140"/>
      <c r="F139" s="56"/>
      <c r="G139" s="57"/>
      <c r="I139" s="140"/>
      <c r="J139" s="56"/>
      <c r="K139" s="57"/>
      <c r="M139" s="140"/>
      <c r="N139" s="56"/>
      <c r="O139" s="57"/>
      <c r="Q139" s="140"/>
      <c r="R139" s="56"/>
      <c r="S139" s="57"/>
      <c r="U139" s="140"/>
      <c r="V139" s="56"/>
      <c r="W139" s="57"/>
      <c r="Y139" s="140"/>
      <c r="Z139" s="56"/>
      <c r="AA139" s="57"/>
      <c r="AC139" s="140"/>
      <c r="AD139" s="56"/>
      <c r="AE139" s="57"/>
      <c r="AG139" s="140"/>
      <c r="AH139" s="56"/>
      <c r="AI139" s="57"/>
      <c r="AK139" s="140"/>
      <c r="AL139" s="56"/>
      <c r="AM139" s="57"/>
      <c r="AO139" s="140"/>
      <c r="AP139" s="56"/>
      <c r="AQ139" s="57"/>
      <c r="AS139" s="140"/>
      <c r="AT139" s="56"/>
      <c r="AU139" s="57"/>
      <c r="AW139" s="140"/>
      <c r="AX139" s="56"/>
      <c r="AY139" s="57"/>
      <c r="BA139" s="140"/>
      <c r="BB139" s="56"/>
      <c r="BC139" s="57"/>
      <c r="BE139" s="140"/>
      <c r="BF139" s="56"/>
      <c r="BG139" s="57"/>
      <c r="BI139" s="140"/>
      <c r="BJ139" s="56"/>
      <c r="BK139" s="57"/>
      <c r="BM139" s="140"/>
      <c r="BN139" s="56"/>
      <c r="BO139" s="57"/>
      <c r="BQ139" s="140"/>
      <c r="BR139" s="56"/>
      <c r="BS139" s="57"/>
      <c r="BU139" s="140"/>
      <c r="BV139" s="56"/>
      <c r="BW139" s="57"/>
      <c r="BY139" s="140"/>
      <c r="BZ139" s="56"/>
      <c r="CA139" s="57"/>
      <c r="CC139" s="140"/>
      <c r="CD139" s="56"/>
      <c r="CE139" s="57"/>
      <c r="CG139" s="140"/>
      <c r="CH139" s="56"/>
      <c r="CI139" s="57"/>
    </row>
    <row r="140" ht="24.0" customHeight="1">
      <c r="A140" s="139"/>
      <c r="B140" s="153">
        <v>3.0</v>
      </c>
      <c r="C140" s="154" t="s">
        <v>169</v>
      </c>
      <c r="D140" s="155" t="s">
        <v>189</v>
      </c>
      <c r="E140" s="156" t="s">
        <v>171</v>
      </c>
      <c r="F140" s="38"/>
      <c r="G140" s="157"/>
      <c r="I140" s="156" t="s">
        <v>171</v>
      </c>
      <c r="J140" s="38"/>
      <c r="K140" s="157"/>
      <c r="M140" s="156" t="s">
        <v>171</v>
      </c>
      <c r="N140" s="38"/>
      <c r="O140" s="157"/>
      <c r="Q140" s="156" t="s">
        <v>171</v>
      </c>
      <c r="R140" s="38"/>
      <c r="S140" s="157"/>
      <c r="U140" s="156" t="s">
        <v>171</v>
      </c>
      <c r="V140" s="38"/>
      <c r="W140" s="157"/>
      <c r="Y140" s="156" t="s">
        <v>171</v>
      </c>
      <c r="Z140" s="38"/>
      <c r="AA140" s="157"/>
      <c r="AC140" s="156" t="s">
        <v>171</v>
      </c>
      <c r="AD140" s="38"/>
      <c r="AE140" s="157"/>
      <c r="AG140" s="156" t="s">
        <v>171</v>
      </c>
      <c r="AH140" s="38"/>
      <c r="AI140" s="157"/>
      <c r="AK140" s="156" t="s">
        <v>171</v>
      </c>
      <c r="AL140" s="38"/>
      <c r="AM140" s="157"/>
      <c r="AO140" s="156" t="s">
        <v>171</v>
      </c>
      <c r="AP140" s="38"/>
      <c r="AQ140" s="157"/>
      <c r="AS140" s="156" t="s">
        <v>171</v>
      </c>
      <c r="AT140" s="38"/>
      <c r="AU140" s="157"/>
      <c r="AW140" s="156" t="s">
        <v>171</v>
      </c>
      <c r="AX140" s="38"/>
      <c r="AY140" s="157"/>
      <c r="BA140" s="156" t="s">
        <v>171</v>
      </c>
      <c r="BB140" s="38"/>
      <c r="BC140" s="157"/>
      <c r="BE140" s="156" t="s">
        <v>171</v>
      </c>
      <c r="BF140" s="38"/>
      <c r="BG140" s="157"/>
      <c r="BI140" s="156" t="s">
        <v>171</v>
      </c>
      <c r="BJ140" s="38"/>
      <c r="BK140" s="157"/>
      <c r="BM140" s="156" t="s">
        <v>171</v>
      </c>
      <c r="BN140" s="38"/>
      <c r="BO140" s="157"/>
      <c r="BQ140" s="156" t="s">
        <v>171</v>
      </c>
      <c r="BR140" s="38"/>
      <c r="BS140" s="157"/>
      <c r="BU140" s="156" t="s">
        <v>171</v>
      </c>
      <c r="BV140" s="38"/>
      <c r="BW140" s="157"/>
      <c r="BY140" s="156" t="s">
        <v>171</v>
      </c>
      <c r="BZ140" s="38"/>
      <c r="CA140" s="157"/>
      <c r="CC140" s="156" t="s">
        <v>171</v>
      </c>
      <c r="CD140" s="38"/>
      <c r="CE140" s="157"/>
      <c r="CG140" s="156" t="s">
        <v>171</v>
      </c>
      <c r="CH140" s="38"/>
      <c r="CI140" s="157"/>
    </row>
    <row r="141" ht="9.0" customHeight="1">
      <c r="A141" s="166"/>
      <c r="E141" s="137"/>
      <c r="I141" s="137"/>
      <c r="M141" s="137"/>
      <c r="Q141" s="137"/>
      <c r="U141" s="137"/>
      <c r="Y141" s="137"/>
      <c r="AC141" s="137"/>
      <c r="AG141" s="137"/>
      <c r="AK141" s="137"/>
      <c r="AO141" s="137"/>
      <c r="AS141" s="137"/>
      <c r="AW141" s="137"/>
      <c r="BA141" s="137"/>
      <c r="BE141" s="137"/>
      <c r="BI141" s="137"/>
      <c r="BM141" s="137"/>
      <c r="BQ141" s="137"/>
      <c r="BU141" s="137"/>
      <c r="BY141" s="137"/>
      <c r="CC141" s="137"/>
      <c r="CG141" s="137"/>
    </row>
    <row r="142">
      <c r="A142" s="142" t="b">
        <v>0</v>
      </c>
      <c r="B142" s="143" t="s">
        <v>199</v>
      </c>
      <c r="C142" s="45"/>
      <c r="D142" s="172" t="s">
        <v>38</v>
      </c>
      <c r="E142" s="145" t="s">
        <v>167</v>
      </c>
      <c r="F142" s="146"/>
      <c r="G142" s="146"/>
      <c r="I142" s="145" t="s">
        <v>167</v>
      </c>
      <c r="J142" s="146"/>
      <c r="K142" s="146"/>
      <c r="M142" s="145" t="s">
        <v>167</v>
      </c>
      <c r="N142" s="146"/>
      <c r="O142" s="146"/>
      <c r="Q142" s="145" t="s">
        <v>167</v>
      </c>
      <c r="R142" s="146"/>
      <c r="S142" s="146"/>
      <c r="U142" s="145" t="s">
        <v>167</v>
      </c>
      <c r="V142" s="146"/>
      <c r="W142" s="146"/>
      <c r="Y142" s="145" t="s">
        <v>167</v>
      </c>
      <c r="Z142" s="146"/>
      <c r="AA142" s="146"/>
      <c r="AC142" s="145" t="s">
        <v>167</v>
      </c>
      <c r="AD142" s="146"/>
      <c r="AE142" s="146"/>
      <c r="AG142" s="145" t="s">
        <v>167</v>
      </c>
      <c r="AH142" s="146"/>
      <c r="AI142" s="146"/>
      <c r="AK142" s="145" t="s">
        <v>167</v>
      </c>
      <c r="AL142" s="146"/>
      <c r="AM142" s="146"/>
      <c r="AO142" s="145" t="s">
        <v>167</v>
      </c>
      <c r="AP142" s="146"/>
      <c r="AQ142" s="146"/>
      <c r="AS142" s="145" t="s">
        <v>167</v>
      </c>
      <c r="AT142" s="146"/>
      <c r="AU142" s="146"/>
      <c r="AW142" s="145" t="s">
        <v>167</v>
      </c>
      <c r="AX142" s="146"/>
      <c r="AY142" s="146"/>
      <c r="BA142" s="145" t="s">
        <v>167</v>
      </c>
      <c r="BB142" s="146"/>
      <c r="BC142" s="146"/>
      <c r="BE142" s="145" t="s">
        <v>167</v>
      </c>
      <c r="BF142" s="146"/>
      <c r="BG142" s="146"/>
      <c r="BI142" s="145" t="s">
        <v>167</v>
      </c>
      <c r="BJ142" s="146"/>
      <c r="BK142" s="146"/>
      <c r="BM142" s="145" t="s">
        <v>167</v>
      </c>
      <c r="BN142" s="146"/>
      <c r="BO142" s="146"/>
      <c r="BQ142" s="145" t="s">
        <v>167</v>
      </c>
      <c r="BR142" s="146"/>
      <c r="BS142" s="146"/>
      <c r="BU142" s="145" t="s">
        <v>167</v>
      </c>
      <c r="BV142" s="146"/>
      <c r="BW142" s="146"/>
      <c r="BY142" s="145" t="s">
        <v>167</v>
      </c>
      <c r="BZ142" s="146"/>
      <c r="CA142" s="146"/>
      <c r="CC142" s="145" t="s">
        <v>167</v>
      </c>
      <c r="CD142" s="146"/>
      <c r="CE142" s="146"/>
      <c r="CG142" s="145" t="s">
        <v>167</v>
      </c>
      <c r="CH142" s="146"/>
      <c r="CI142" s="146"/>
    </row>
    <row r="143">
      <c r="A143" s="147"/>
      <c r="B143" s="138"/>
      <c r="C143" s="52"/>
      <c r="D143" s="138"/>
      <c r="E143" s="139"/>
      <c r="F143" s="139"/>
      <c r="G143" s="139"/>
      <c r="I143" s="139"/>
      <c r="J143" s="139"/>
      <c r="K143" s="139"/>
      <c r="M143" s="139"/>
      <c r="N143" s="139"/>
      <c r="O143" s="139"/>
      <c r="Q143" s="139"/>
      <c r="R143" s="139"/>
      <c r="S143" s="139"/>
      <c r="U143" s="139"/>
      <c r="V143" s="139"/>
      <c r="W143" s="139"/>
      <c r="Y143" s="139"/>
      <c r="Z143" s="139"/>
      <c r="AA143" s="139"/>
      <c r="AC143" s="139"/>
      <c r="AD143" s="139"/>
      <c r="AE143" s="139"/>
      <c r="AG143" s="139"/>
      <c r="AH143" s="139"/>
      <c r="AI143" s="139"/>
      <c r="AK143" s="139"/>
      <c r="AL143" s="139"/>
      <c r="AM143" s="139"/>
      <c r="AO143" s="139"/>
      <c r="AP143" s="139"/>
      <c r="AQ143" s="139"/>
      <c r="AS143" s="139"/>
      <c r="AT143" s="139"/>
      <c r="AU143" s="139"/>
      <c r="AW143" s="139"/>
      <c r="AX143" s="139"/>
      <c r="AY143" s="139"/>
      <c r="BA143" s="139"/>
      <c r="BB143" s="139"/>
      <c r="BC143" s="139"/>
      <c r="BE143" s="139"/>
      <c r="BF143" s="139"/>
      <c r="BG143" s="139"/>
      <c r="BI143" s="139"/>
      <c r="BJ143" s="139"/>
      <c r="BK143" s="139"/>
      <c r="BM143" s="139"/>
      <c r="BN143" s="139"/>
      <c r="BO143" s="139"/>
      <c r="BQ143" s="139"/>
      <c r="BR143" s="139"/>
      <c r="BS143" s="139"/>
      <c r="BU143" s="139"/>
      <c r="BV143" s="139"/>
      <c r="BW143" s="139"/>
      <c r="BY143" s="139"/>
      <c r="BZ143" s="139"/>
      <c r="CA143" s="139"/>
      <c r="CC143" s="139"/>
      <c r="CD143" s="139"/>
      <c r="CE143" s="139"/>
      <c r="CG143" s="139"/>
      <c r="CH143" s="139"/>
      <c r="CI143" s="139"/>
    </row>
    <row r="144" ht="15.0" customHeight="1">
      <c r="A144" s="147"/>
      <c r="B144" s="138"/>
      <c r="C144" s="52"/>
      <c r="D144" s="138"/>
      <c r="E144" s="148"/>
      <c r="F144" s="149"/>
      <c r="G144" s="45"/>
      <c r="I144" s="148"/>
      <c r="J144" s="149"/>
      <c r="K144" s="45"/>
      <c r="M144" s="148"/>
      <c r="N144" s="149"/>
      <c r="O144" s="45"/>
      <c r="Q144" s="148"/>
      <c r="R144" s="149"/>
      <c r="S144" s="45"/>
      <c r="U144" s="148"/>
      <c r="V144" s="149"/>
      <c r="W144" s="45"/>
      <c r="Y144" s="148"/>
      <c r="Z144" s="149"/>
      <c r="AA144" s="45"/>
      <c r="AC144" s="148"/>
      <c r="AD144" s="149"/>
      <c r="AE144" s="45"/>
      <c r="AG144" s="148"/>
      <c r="AH144" s="149"/>
      <c r="AI144" s="45"/>
      <c r="AK144" s="148"/>
      <c r="AL144" s="149"/>
      <c r="AM144" s="45"/>
      <c r="AO144" s="148"/>
      <c r="AP144" s="149"/>
      <c r="AQ144" s="45"/>
      <c r="AS144" s="148"/>
      <c r="AT144" s="149"/>
      <c r="AU144" s="45"/>
      <c r="AW144" s="148"/>
      <c r="AX144" s="149"/>
      <c r="AY144" s="45"/>
      <c r="BA144" s="148"/>
      <c r="BB144" s="149"/>
      <c r="BC144" s="45"/>
      <c r="BE144" s="148"/>
      <c r="BF144" s="149"/>
      <c r="BG144" s="45"/>
      <c r="BI144" s="148"/>
      <c r="BJ144" s="149"/>
      <c r="BK144" s="45"/>
      <c r="BM144" s="148"/>
      <c r="BN144" s="149"/>
      <c r="BO144" s="45"/>
      <c r="BQ144" s="148"/>
      <c r="BR144" s="149"/>
      <c r="BS144" s="45"/>
      <c r="BU144" s="148"/>
      <c r="BV144" s="149"/>
      <c r="BW144" s="45"/>
      <c r="BY144" s="148"/>
      <c r="BZ144" s="149"/>
      <c r="CA144" s="45"/>
      <c r="CC144" s="148"/>
      <c r="CD144" s="149"/>
      <c r="CE144" s="45"/>
      <c r="CG144" s="148"/>
      <c r="CH144" s="149"/>
      <c r="CI144" s="45"/>
    </row>
    <row r="145" ht="15.0" customHeight="1">
      <c r="A145" s="147"/>
      <c r="B145" s="140"/>
      <c r="C145" s="57"/>
      <c r="D145" s="140"/>
      <c r="E145" s="138"/>
      <c r="G145" s="52"/>
      <c r="I145" s="138"/>
      <c r="K145" s="52"/>
      <c r="M145" s="138"/>
      <c r="O145" s="52"/>
      <c r="Q145" s="138"/>
      <c r="S145" s="52"/>
      <c r="U145" s="138"/>
      <c r="W145" s="52"/>
      <c r="Y145" s="138"/>
      <c r="AA145" s="52"/>
      <c r="AC145" s="138"/>
      <c r="AE145" s="52"/>
      <c r="AG145" s="138"/>
      <c r="AI145" s="52"/>
      <c r="AK145" s="138"/>
      <c r="AM145" s="52"/>
      <c r="AO145" s="138"/>
      <c r="AQ145" s="52"/>
      <c r="AS145" s="138"/>
      <c r="AU145" s="52"/>
      <c r="AW145" s="138"/>
      <c r="AY145" s="52"/>
      <c r="BA145" s="138"/>
      <c r="BC145" s="52"/>
      <c r="BE145" s="138"/>
      <c r="BG145" s="52"/>
      <c r="BI145" s="138"/>
      <c r="BK145" s="52"/>
      <c r="BM145" s="138"/>
      <c r="BO145" s="52"/>
      <c r="BQ145" s="138"/>
      <c r="BS145" s="52"/>
      <c r="BU145" s="138"/>
      <c r="BW145" s="52"/>
      <c r="BY145" s="138"/>
      <c r="CA145" s="52"/>
      <c r="CC145" s="138"/>
      <c r="CE145" s="52"/>
      <c r="CG145" s="138"/>
      <c r="CI145" s="52"/>
    </row>
    <row r="146" ht="25.5" customHeight="1">
      <c r="A146" s="147"/>
      <c r="B146" s="173" t="s">
        <v>168</v>
      </c>
      <c r="C146" s="174" t="s">
        <v>165</v>
      </c>
      <c r="D146" s="175" t="s">
        <v>164</v>
      </c>
      <c r="E146" s="140"/>
      <c r="F146" s="56"/>
      <c r="G146" s="57"/>
      <c r="I146" s="140"/>
      <c r="J146" s="56"/>
      <c r="K146" s="57"/>
      <c r="M146" s="140"/>
      <c r="N146" s="56"/>
      <c r="O146" s="57"/>
      <c r="Q146" s="140"/>
      <c r="R146" s="56"/>
      <c r="S146" s="57"/>
      <c r="U146" s="140"/>
      <c r="V146" s="56"/>
      <c r="W146" s="57"/>
      <c r="Y146" s="140"/>
      <c r="Z146" s="56"/>
      <c r="AA146" s="57"/>
      <c r="AC146" s="140"/>
      <c r="AD146" s="56"/>
      <c r="AE146" s="57"/>
      <c r="AG146" s="140"/>
      <c r="AH146" s="56"/>
      <c r="AI146" s="57"/>
      <c r="AK146" s="140"/>
      <c r="AL146" s="56"/>
      <c r="AM146" s="57"/>
      <c r="AO146" s="140"/>
      <c r="AP146" s="56"/>
      <c r="AQ146" s="57"/>
      <c r="AS146" s="140"/>
      <c r="AT146" s="56"/>
      <c r="AU146" s="57"/>
      <c r="AW146" s="140"/>
      <c r="AX146" s="56"/>
      <c r="AY146" s="57"/>
      <c r="BA146" s="140"/>
      <c r="BB146" s="56"/>
      <c r="BC146" s="57"/>
      <c r="BE146" s="140"/>
      <c r="BF146" s="56"/>
      <c r="BG146" s="57"/>
      <c r="BI146" s="140"/>
      <c r="BJ146" s="56"/>
      <c r="BK146" s="57"/>
      <c r="BM146" s="140"/>
      <c r="BN146" s="56"/>
      <c r="BO146" s="57"/>
      <c r="BQ146" s="140"/>
      <c r="BR146" s="56"/>
      <c r="BS146" s="57"/>
      <c r="BU146" s="140"/>
      <c r="BV146" s="56"/>
      <c r="BW146" s="57"/>
      <c r="BY146" s="140"/>
      <c r="BZ146" s="56"/>
      <c r="CA146" s="57"/>
      <c r="CC146" s="140"/>
      <c r="CD146" s="56"/>
      <c r="CE146" s="57"/>
      <c r="CG146" s="140"/>
      <c r="CH146" s="56"/>
      <c r="CI146" s="57"/>
    </row>
    <row r="147" ht="24.0" customHeight="1">
      <c r="A147" s="139"/>
      <c r="B147" s="153">
        <v>3.0</v>
      </c>
      <c r="C147" s="154" t="s">
        <v>169</v>
      </c>
      <c r="D147" s="155" t="s">
        <v>174</v>
      </c>
      <c r="E147" s="156" t="s">
        <v>171</v>
      </c>
      <c r="F147" s="38"/>
      <c r="G147" s="157"/>
      <c r="I147" s="156" t="s">
        <v>171</v>
      </c>
      <c r="J147" s="38"/>
      <c r="K147" s="157"/>
      <c r="M147" s="156" t="s">
        <v>171</v>
      </c>
      <c r="N147" s="38"/>
      <c r="O147" s="157"/>
      <c r="Q147" s="156" t="s">
        <v>171</v>
      </c>
      <c r="R147" s="38"/>
      <c r="S147" s="157"/>
      <c r="U147" s="156" t="s">
        <v>171</v>
      </c>
      <c r="V147" s="38"/>
      <c r="W147" s="157"/>
      <c r="Y147" s="156" t="s">
        <v>171</v>
      </c>
      <c r="Z147" s="38"/>
      <c r="AA147" s="157"/>
      <c r="AC147" s="156" t="s">
        <v>171</v>
      </c>
      <c r="AD147" s="38"/>
      <c r="AE147" s="157"/>
      <c r="AG147" s="156" t="s">
        <v>171</v>
      </c>
      <c r="AH147" s="38"/>
      <c r="AI147" s="157"/>
      <c r="AK147" s="156" t="s">
        <v>171</v>
      </c>
      <c r="AL147" s="38"/>
      <c r="AM147" s="157"/>
      <c r="AO147" s="156" t="s">
        <v>171</v>
      </c>
      <c r="AP147" s="38"/>
      <c r="AQ147" s="157"/>
      <c r="AS147" s="156" t="s">
        <v>171</v>
      </c>
      <c r="AT147" s="38"/>
      <c r="AU147" s="157"/>
      <c r="AW147" s="156" t="s">
        <v>171</v>
      </c>
      <c r="AX147" s="38"/>
      <c r="AY147" s="157"/>
      <c r="BA147" s="156" t="s">
        <v>171</v>
      </c>
      <c r="BB147" s="38"/>
      <c r="BC147" s="157"/>
      <c r="BE147" s="156" t="s">
        <v>171</v>
      </c>
      <c r="BF147" s="38"/>
      <c r="BG147" s="157"/>
      <c r="BI147" s="156" t="s">
        <v>171</v>
      </c>
      <c r="BJ147" s="38"/>
      <c r="BK147" s="157"/>
      <c r="BM147" s="156" t="s">
        <v>171</v>
      </c>
      <c r="BN147" s="38"/>
      <c r="BO147" s="157"/>
      <c r="BQ147" s="156" t="s">
        <v>171</v>
      </c>
      <c r="BR147" s="38"/>
      <c r="BS147" s="157"/>
      <c r="BU147" s="156" t="s">
        <v>171</v>
      </c>
      <c r="BV147" s="38"/>
      <c r="BW147" s="157"/>
      <c r="BY147" s="156" t="s">
        <v>171</v>
      </c>
      <c r="BZ147" s="38"/>
      <c r="CA147" s="157"/>
      <c r="CC147" s="156" t="s">
        <v>171</v>
      </c>
      <c r="CD147" s="38"/>
      <c r="CE147" s="157"/>
      <c r="CG147" s="156" t="s">
        <v>171</v>
      </c>
      <c r="CH147" s="38"/>
      <c r="CI147" s="157"/>
    </row>
    <row r="148" ht="9.0" customHeight="1">
      <c r="A148" s="166"/>
      <c r="E148" s="137"/>
      <c r="I148" s="137"/>
      <c r="M148" s="137"/>
      <c r="Q148" s="137"/>
      <c r="U148" s="137"/>
      <c r="Y148" s="137"/>
      <c r="AC148" s="137"/>
      <c r="AG148" s="137"/>
      <c r="AK148" s="137"/>
      <c r="AO148" s="137"/>
      <c r="AS148" s="137"/>
      <c r="AW148" s="137"/>
      <c r="BA148" s="137"/>
      <c r="BE148" s="137"/>
      <c r="BI148" s="137"/>
      <c r="BM148" s="137"/>
      <c r="BQ148" s="137"/>
      <c r="BU148" s="137"/>
      <c r="BY148" s="137"/>
      <c r="CC148" s="137"/>
      <c r="CG148" s="137"/>
    </row>
    <row r="149">
      <c r="A149" s="142" t="b">
        <v>0</v>
      </c>
      <c r="B149" s="143" t="s">
        <v>200</v>
      </c>
      <c r="C149" s="45"/>
      <c r="D149" s="172" t="s">
        <v>38</v>
      </c>
      <c r="E149" s="145" t="s">
        <v>167</v>
      </c>
      <c r="F149" s="146"/>
      <c r="G149" s="146"/>
      <c r="I149" s="145" t="s">
        <v>167</v>
      </c>
      <c r="J149" s="146"/>
      <c r="K149" s="146"/>
      <c r="M149" s="145" t="s">
        <v>167</v>
      </c>
      <c r="N149" s="146"/>
      <c r="O149" s="146"/>
      <c r="Q149" s="145" t="s">
        <v>167</v>
      </c>
      <c r="R149" s="146"/>
      <c r="S149" s="146"/>
      <c r="U149" s="145" t="s">
        <v>167</v>
      </c>
      <c r="V149" s="146"/>
      <c r="W149" s="146"/>
      <c r="Y149" s="145" t="s">
        <v>167</v>
      </c>
      <c r="Z149" s="146"/>
      <c r="AA149" s="146"/>
      <c r="AC149" s="145" t="s">
        <v>167</v>
      </c>
      <c r="AD149" s="146"/>
      <c r="AE149" s="146"/>
      <c r="AG149" s="145" t="s">
        <v>167</v>
      </c>
      <c r="AH149" s="146"/>
      <c r="AI149" s="146"/>
      <c r="AK149" s="145" t="s">
        <v>167</v>
      </c>
      <c r="AL149" s="146"/>
      <c r="AM149" s="146"/>
      <c r="AO149" s="145" t="s">
        <v>167</v>
      </c>
      <c r="AP149" s="146"/>
      <c r="AQ149" s="146"/>
      <c r="AS149" s="145" t="s">
        <v>167</v>
      </c>
      <c r="AT149" s="146"/>
      <c r="AU149" s="146"/>
      <c r="AW149" s="145" t="s">
        <v>167</v>
      </c>
      <c r="AX149" s="146"/>
      <c r="AY149" s="146"/>
      <c r="BA149" s="145" t="s">
        <v>167</v>
      </c>
      <c r="BB149" s="146"/>
      <c r="BC149" s="146"/>
      <c r="BE149" s="145" t="s">
        <v>167</v>
      </c>
      <c r="BF149" s="146"/>
      <c r="BG149" s="146"/>
      <c r="BI149" s="145" t="s">
        <v>167</v>
      </c>
      <c r="BJ149" s="146"/>
      <c r="BK149" s="146"/>
      <c r="BM149" s="145" t="s">
        <v>167</v>
      </c>
      <c r="BN149" s="146"/>
      <c r="BO149" s="146"/>
      <c r="BQ149" s="145" t="s">
        <v>167</v>
      </c>
      <c r="BR149" s="146"/>
      <c r="BS149" s="146"/>
      <c r="BU149" s="145" t="s">
        <v>167</v>
      </c>
      <c r="BV149" s="146"/>
      <c r="BW149" s="146"/>
      <c r="BY149" s="145" t="s">
        <v>167</v>
      </c>
      <c r="BZ149" s="146"/>
      <c r="CA149" s="146"/>
      <c r="CC149" s="145" t="s">
        <v>167</v>
      </c>
      <c r="CD149" s="146"/>
      <c r="CE149" s="146"/>
      <c r="CG149" s="145" t="s">
        <v>167</v>
      </c>
      <c r="CH149" s="146"/>
      <c r="CI149" s="146"/>
    </row>
    <row r="150">
      <c r="A150" s="147"/>
      <c r="B150" s="138"/>
      <c r="C150" s="52"/>
      <c r="D150" s="138"/>
      <c r="E150" s="139"/>
      <c r="F150" s="139"/>
      <c r="G150" s="139"/>
      <c r="I150" s="139"/>
      <c r="J150" s="139"/>
      <c r="K150" s="139"/>
      <c r="M150" s="139"/>
      <c r="N150" s="139"/>
      <c r="O150" s="139"/>
      <c r="Q150" s="139"/>
      <c r="R150" s="139"/>
      <c r="S150" s="139"/>
      <c r="U150" s="139"/>
      <c r="V150" s="139"/>
      <c r="W150" s="139"/>
      <c r="Y150" s="139"/>
      <c r="Z150" s="139"/>
      <c r="AA150" s="139"/>
      <c r="AC150" s="139"/>
      <c r="AD150" s="139"/>
      <c r="AE150" s="139"/>
      <c r="AG150" s="139"/>
      <c r="AH150" s="139"/>
      <c r="AI150" s="139"/>
      <c r="AK150" s="139"/>
      <c r="AL150" s="139"/>
      <c r="AM150" s="139"/>
      <c r="AO150" s="139"/>
      <c r="AP150" s="139"/>
      <c r="AQ150" s="139"/>
      <c r="AS150" s="139"/>
      <c r="AT150" s="139"/>
      <c r="AU150" s="139"/>
      <c r="AW150" s="139"/>
      <c r="AX150" s="139"/>
      <c r="AY150" s="139"/>
      <c r="BA150" s="139"/>
      <c r="BB150" s="139"/>
      <c r="BC150" s="139"/>
      <c r="BE150" s="139"/>
      <c r="BF150" s="139"/>
      <c r="BG150" s="139"/>
      <c r="BI150" s="139"/>
      <c r="BJ150" s="139"/>
      <c r="BK150" s="139"/>
      <c r="BM150" s="139"/>
      <c r="BN150" s="139"/>
      <c r="BO150" s="139"/>
      <c r="BQ150" s="139"/>
      <c r="BR150" s="139"/>
      <c r="BS150" s="139"/>
      <c r="BU150" s="139"/>
      <c r="BV150" s="139"/>
      <c r="BW150" s="139"/>
      <c r="BY150" s="139"/>
      <c r="BZ150" s="139"/>
      <c r="CA150" s="139"/>
      <c r="CC150" s="139"/>
      <c r="CD150" s="139"/>
      <c r="CE150" s="139"/>
      <c r="CG150" s="139"/>
      <c r="CH150" s="139"/>
      <c r="CI150" s="139"/>
    </row>
    <row r="151" ht="13.5" customHeight="1">
      <c r="A151" s="147"/>
      <c r="B151" s="138"/>
      <c r="C151" s="52"/>
      <c r="D151" s="138"/>
      <c r="E151" s="148"/>
      <c r="F151" s="149"/>
      <c r="G151" s="45"/>
      <c r="I151" s="148"/>
      <c r="J151" s="149"/>
      <c r="K151" s="45"/>
      <c r="M151" s="148"/>
      <c r="N151" s="149"/>
      <c r="O151" s="45"/>
      <c r="Q151" s="148"/>
      <c r="R151" s="149"/>
      <c r="S151" s="45"/>
      <c r="U151" s="148"/>
      <c r="V151" s="149"/>
      <c r="W151" s="45"/>
      <c r="Y151" s="148"/>
      <c r="Z151" s="149"/>
      <c r="AA151" s="45"/>
      <c r="AC151" s="148"/>
      <c r="AD151" s="149"/>
      <c r="AE151" s="45"/>
      <c r="AG151" s="148"/>
      <c r="AH151" s="149"/>
      <c r="AI151" s="45"/>
      <c r="AK151" s="148"/>
      <c r="AL151" s="149"/>
      <c r="AM151" s="45"/>
      <c r="AO151" s="148"/>
      <c r="AP151" s="149"/>
      <c r="AQ151" s="45"/>
      <c r="AS151" s="148"/>
      <c r="AT151" s="149"/>
      <c r="AU151" s="45"/>
      <c r="AW151" s="148"/>
      <c r="AX151" s="149"/>
      <c r="AY151" s="45"/>
      <c r="BA151" s="148"/>
      <c r="BB151" s="149"/>
      <c r="BC151" s="45"/>
      <c r="BE151" s="148"/>
      <c r="BF151" s="149"/>
      <c r="BG151" s="45"/>
      <c r="BI151" s="148"/>
      <c r="BJ151" s="149"/>
      <c r="BK151" s="45"/>
      <c r="BM151" s="148"/>
      <c r="BN151" s="149"/>
      <c r="BO151" s="45"/>
      <c r="BQ151" s="148"/>
      <c r="BR151" s="149"/>
      <c r="BS151" s="45"/>
      <c r="BU151" s="148"/>
      <c r="BV151" s="149"/>
      <c r="BW151" s="45"/>
      <c r="BY151" s="148"/>
      <c r="BZ151" s="149"/>
      <c r="CA151" s="45"/>
      <c r="CC151" s="148"/>
      <c r="CD151" s="149"/>
      <c r="CE151" s="45"/>
      <c r="CG151" s="148"/>
      <c r="CH151" s="149"/>
      <c r="CI151" s="45"/>
    </row>
    <row r="152" ht="13.5" customHeight="1">
      <c r="A152" s="147"/>
      <c r="B152" s="140"/>
      <c r="C152" s="57"/>
      <c r="D152" s="140"/>
      <c r="E152" s="138"/>
      <c r="G152" s="52"/>
      <c r="I152" s="138"/>
      <c r="K152" s="52"/>
      <c r="M152" s="138"/>
      <c r="O152" s="52"/>
      <c r="Q152" s="138"/>
      <c r="S152" s="52"/>
      <c r="U152" s="138"/>
      <c r="W152" s="52"/>
      <c r="Y152" s="138"/>
      <c r="AA152" s="52"/>
      <c r="AC152" s="138"/>
      <c r="AE152" s="52"/>
      <c r="AG152" s="138"/>
      <c r="AI152" s="52"/>
      <c r="AK152" s="138"/>
      <c r="AM152" s="52"/>
      <c r="AO152" s="138"/>
      <c r="AQ152" s="52"/>
      <c r="AS152" s="138"/>
      <c r="AU152" s="52"/>
      <c r="AW152" s="138"/>
      <c r="AY152" s="52"/>
      <c r="BA152" s="138"/>
      <c r="BC152" s="52"/>
      <c r="BE152" s="138"/>
      <c r="BG152" s="52"/>
      <c r="BI152" s="138"/>
      <c r="BK152" s="52"/>
      <c r="BM152" s="138"/>
      <c r="BO152" s="52"/>
      <c r="BQ152" s="138"/>
      <c r="BS152" s="52"/>
      <c r="BU152" s="138"/>
      <c r="BW152" s="52"/>
      <c r="BY152" s="138"/>
      <c r="CA152" s="52"/>
      <c r="CC152" s="138"/>
      <c r="CE152" s="52"/>
      <c r="CG152" s="138"/>
      <c r="CI152" s="52"/>
    </row>
    <row r="153" ht="21.75" customHeight="1">
      <c r="A153" s="147"/>
      <c r="B153" s="173" t="s">
        <v>168</v>
      </c>
      <c r="C153" s="174" t="s">
        <v>165</v>
      </c>
      <c r="D153" s="175" t="s">
        <v>164</v>
      </c>
      <c r="E153" s="140"/>
      <c r="F153" s="56"/>
      <c r="G153" s="57"/>
      <c r="I153" s="140"/>
      <c r="J153" s="56"/>
      <c r="K153" s="57"/>
      <c r="M153" s="140"/>
      <c r="N153" s="56"/>
      <c r="O153" s="57"/>
      <c r="Q153" s="140"/>
      <c r="R153" s="56"/>
      <c r="S153" s="57"/>
      <c r="U153" s="140"/>
      <c r="V153" s="56"/>
      <c r="W153" s="57"/>
      <c r="Y153" s="140"/>
      <c r="Z153" s="56"/>
      <c r="AA153" s="57"/>
      <c r="AC153" s="140"/>
      <c r="AD153" s="56"/>
      <c r="AE153" s="57"/>
      <c r="AG153" s="140"/>
      <c r="AH153" s="56"/>
      <c r="AI153" s="57"/>
      <c r="AK153" s="140"/>
      <c r="AL153" s="56"/>
      <c r="AM153" s="57"/>
      <c r="AO153" s="140"/>
      <c r="AP153" s="56"/>
      <c r="AQ153" s="57"/>
      <c r="AS153" s="140"/>
      <c r="AT153" s="56"/>
      <c r="AU153" s="57"/>
      <c r="AW153" s="140"/>
      <c r="AX153" s="56"/>
      <c r="AY153" s="57"/>
      <c r="BA153" s="140"/>
      <c r="BB153" s="56"/>
      <c r="BC153" s="57"/>
      <c r="BE153" s="140"/>
      <c r="BF153" s="56"/>
      <c r="BG153" s="57"/>
      <c r="BI153" s="140"/>
      <c r="BJ153" s="56"/>
      <c r="BK153" s="57"/>
      <c r="BM153" s="140"/>
      <c r="BN153" s="56"/>
      <c r="BO153" s="57"/>
      <c r="BQ153" s="140"/>
      <c r="BR153" s="56"/>
      <c r="BS153" s="57"/>
      <c r="BU153" s="140"/>
      <c r="BV153" s="56"/>
      <c r="BW153" s="57"/>
      <c r="BY153" s="140"/>
      <c r="BZ153" s="56"/>
      <c r="CA153" s="57"/>
      <c r="CC153" s="140"/>
      <c r="CD153" s="56"/>
      <c r="CE153" s="57"/>
      <c r="CG153" s="140"/>
      <c r="CH153" s="56"/>
      <c r="CI153" s="57"/>
    </row>
    <row r="154" ht="24.0" customHeight="1">
      <c r="A154" s="139"/>
      <c r="B154" s="153">
        <v>3.0</v>
      </c>
      <c r="C154" s="177">
        <v>46007.0</v>
      </c>
      <c r="D154" s="155" t="s">
        <v>174</v>
      </c>
      <c r="E154" s="156" t="s">
        <v>171</v>
      </c>
      <c r="F154" s="38"/>
      <c r="G154" s="157"/>
      <c r="I154" s="156" t="s">
        <v>171</v>
      </c>
      <c r="J154" s="38"/>
      <c r="K154" s="157"/>
      <c r="M154" s="156" t="s">
        <v>171</v>
      </c>
      <c r="N154" s="38"/>
      <c r="O154" s="157"/>
      <c r="Q154" s="156" t="s">
        <v>171</v>
      </c>
      <c r="R154" s="38"/>
      <c r="S154" s="157"/>
      <c r="U154" s="156" t="s">
        <v>171</v>
      </c>
      <c r="V154" s="38"/>
      <c r="W154" s="157"/>
      <c r="Y154" s="156" t="s">
        <v>171</v>
      </c>
      <c r="Z154" s="38"/>
      <c r="AA154" s="157"/>
      <c r="AC154" s="156" t="s">
        <v>171</v>
      </c>
      <c r="AD154" s="38"/>
      <c r="AE154" s="157"/>
      <c r="AG154" s="156" t="s">
        <v>171</v>
      </c>
      <c r="AH154" s="38"/>
      <c r="AI154" s="157"/>
      <c r="AK154" s="156" t="s">
        <v>171</v>
      </c>
      <c r="AL154" s="38"/>
      <c r="AM154" s="157"/>
      <c r="AO154" s="156" t="s">
        <v>171</v>
      </c>
      <c r="AP154" s="38"/>
      <c r="AQ154" s="157"/>
      <c r="AS154" s="156" t="s">
        <v>171</v>
      </c>
      <c r="AT154" s="38"/>
      <c r="AU154" s="157"/>
      <c r="AW154" s="156" t="s">
        <v>171</v>
      </c>
      <c r="AX154" s="38"/>
      <c r="AY154" s="157"/>
      <c r="BA154" s="156" t="s">
        <v>171</v>
      </c>
      <c r="BB154" s="38"/>
      <c r="BC154" s="157"/>
      <c r="BE154" s="156" t="s">
        <v>171</v>
      </c>
      <c r="BF154" s="38"/>
      <c r="BG154" s="157"/>
      <c r="BI154" s="156" t="s">
        <v>171</v>
      </c>
      <c r="BJ154" s="38"/>
      <c r="BK154" s="157"/>
      <c r="BM154" s="156" t="s">
        <v>171</v>
      </c>
      <c r="BN154" s="38"/>
      <c r="BO154" s="157"/>
      <c r="BQ154" s="156" t="s">
        <v>171</v>
      </c>
      <c r="BR154" s="38"/>
      <c r="BS154" s="157"/>
      <c r="BU154" s="156" t="s">
        <v>171</v>
      </c>
      <c r="BV154" s="38"/>
      <c r="BW154" s="157"/>
      <c r="BY154" s="156" t="s">
        <v>171</v>
      </c>
      <c r="BZ154" s="38"/>
      <c r="CA154" s="157"/>
      <c r="CC154" s="156" t="s">
        <v>171</v>
      </c>
      <c r="CD154" s="38"/>
      <c r="CE154" s="157"/>
      <c r="CG154" s="156" t="s">
        <v>171</v>
      </c>
      <c r="CH154" s="38"/>
      <c r="CI154" s="157"/>
    </row>
    <row r="155" ht="9.75" customHeight="1">
      <c r="A155" s="166"/>
      <c r="E155" s="137"/>
      <c r="I155" s="137"/>
      <c r="M155" s="137"/>
      <c r="Q155" s="137"/>
      <c r="U155" s="137"/>
      <c r="Y155" s="137"/>
      <c r="AC155" s="137"/>
      <c r="AG155" s="137"/>
      <c r="AK155" s="137"/>
      <c r="AO155" s="137"/>
      <c r="AS155" s="137"/>
      <c r="AW155" s="137"/>
      <c r="BA155" s="137"/>
      <c r="BE155" s="137"/>
      <c r="BI155" s="137"/>
      <c r="BM155" s="137"/>
      <c r="BQ155" s="137"/>
      <c r="BU155" s="137"/>
      <c r="BY155" s="137"/>
      <c r="CC155" s="137"/>
      <c r="CG155" s="137"/>
    </row>
    <row r="156">
      <c r="A156" s="142" t="b">
        <v>0</v>
      </c>
      <c r="B156" s="160" t="s">
        <v>201</v>
      </c>
      <c r="C156" s="45"/>
      <c r="D156" s="172" t="s">
        <v>38</v>
      </c>
      <c r="E156" s="145" t="s">
        <v>167</v>
      </c>
      <c r="F156" s="146"/>
      <c r="G156" s="146"/>
      <c r="I156" s="145" t="s">
        <v>167</v>
      </c>
      <c r="J156" s="146"/>
      <c r="K156" s="146"/>
      <c r="M156" s="145" t="s">
        <v>167</v>
      </c>
      <c r="N156" s="146"/>
      <c r="O156" s="146"/>
      <c r="Q156" s="145" t="s">
        <v>167</v>
      </c>
      <c r="R156" s="146"/>
      <c r="S156" s="146"/>
      <c r="U156" s="145" t="s">
        <v>167</v>
      </c>
      <c r="V156" s="146"/>
      <c r="W156" s="146"/>
      <c r="Y156" s="145" t="s">
        <v>167</v>
      </c>
      <c r="Z156" s="146"/>
      <c r="AA156" s="146"/>
      <c r="AC156" s="145" t="s">
        <v>167</v>
      </c>
      <c r="AD156" s="146"/>
      <c r="AE156" s="146"/>
      <c r="AG156" s="145" t="s">
        <v>167</v>
      </c>
      <c r="AH156" s="146"/>
      <c r="AI156" s="146"/>
      <c r="AK156" s="145" t="s">
        <v>167</v>
      </c>
      <c r="AL156" s="146"/>
      <c r="AM156" s="146"/>
      <c r="AO156" s="145" t="s">
        <v>167</v>
      </c>
      <c r="AP156" s="146"/>
      <c r="AQ156" s="146"/>
      <c r="AS156" s="145" t="s">
        <v>167</v>
      </c>
      <c r="AT156" s="146"/>
      <c r="AU156" s="146"/>
      <c r="AW156" s="145" t="s">
        <v>167</v>
      </c>
      <c r="AX156" s="146"/>
      <c r="AY156" s="146"/>
      <c r="BA156" s="145" t="s">
        <v>167</v>
      </c>
      <c r="BB156" s="146"/>
      <c r="BC156" s="146"/>
      <c r="BE156" s="145" t="s">
        <v>167</v>
      </c>
      <c r="BF156" s="146"/>
      <c r="BG156" s="146"/>
      <c r="BI156" s="145" t="s">
        <v>167</v>
      </c>
      <c r="BJ156" s="146"/>
      <c r="BK156" s="146"/>
      <c r="BM156" s="145" t="s">
        <v>167</v>
      </c>
      <c r="BN156" s="146"/>
      <c r="BO156" s="146"/>
      <c r="BQ156" s="145" t="s">
        <v>167</v>
      </c>
      <c r="BR156" s="146"/>
      <c r="BS156" s="146"/>
      <c r="BU156" s="145" t="s">
        <v>167</v>
      </c>
      <c r="BV156" s="146"/>
      <c r="BW156" s="146"/>
      <c r="BY156" s="145" t="s">
        <v>167</v>
      </c>
      <c r="BZ156" s="146"/>
      <c r="CA156" s="146"/>
      <c r="CC156" s="145" t="s">
        <v>167</v>
      </c>
      <c r="CD156" s="146"/>
      <c r="CE156" s="146"/>
      <c r="CG156" s="145" t="s">
        <v>167</v>
      </c>
      <c r="CH156" s="146"/>
      <c r="CI156" s="146"/>
    </row>
    <row r="157">
      <c r="A157" s="147"/>
      <c r="B157" s="138"/>
      <c r="C157" s="52"/>
      <c r="D157" s="138"/>
      <c r="E157" s="139"/>
      <c r="F157" s="139"/>
      <c r="G157" s="139"/>
      <c r="I157" s="139"/>
      <c r="J157" s="139"/>
      <c r="K157" s="139"/>
      <c r="M157" s="139"/>
      <c r="N157" s="139"/>
      <c r="O157" s="139"/>
      <c r="Q157" s="139"/>
      <c r="R157" s="139"/>
      <c r="S157" s="139"/>
      <c r="U157" s="139"/>
      <c r="V157" s="139"/>
      <c r="W157" s="139"/>
      <c r="Y157" s="139"/>
      <c r="Z157" s="139"/>
      <c r="AA157" s="139"/>
      <c r="AC157" s="139"/>
      <c r="AD157" s="139"/>
      <c r="AE157" s="139"/>
      <c r="AG157" s="139"/>
      <c r="AH157" s="139"/>
      <c r="AI157" s="139"/>
      <c r="AK157" s="139"/>
      <c r="AL157" s="139"/>
      <c r="AM157" s="139"/>
      <c r="AO157" s="139"/>
      <c r="AP157" s="139"/>
      <c r="AQ157" s="139"/>
      <c r="AS157" s="139"/>
      <c r="AT157" s="139"/>
      <c r="AU157" s="139"/>
      <c r="AW157" s="139"/>
      <c r="AX157" s="139"/>
      <c r="AY157" s="139"/>
      <c r="BA157" s="139"/>
      <c r="BB157" s="139"/>
      <c r="BC157" s="139"/>
      <c r="BE157" s="139"/>
      <c r="BF157" s="139"/>
      <c r="BG157" s="139"/>
      <c r="BI157" s="139"/>
      <c r="BJ157" s="139"/>
      <c r="BK157" s="139"/>
      <c r="BM157" s="139"/>
      <c r="BN157" s="139"/>
      <c r="BO157" s="139"/>
      <c r="BQ157" s="139"/>
      <c r="BR157" s="139"/>
      <c r="BS157" s="139"/>
      <c r="BU157" s="139"/>
      <c r="BV157" s="139"/>
      <c r="BW157" s="139"/>
      <c r="BY157" s="139"/>
      <c r="BZ157" s="139"/>
      <c r="CA157" s="139"/>
      <c r="CC157" s="139"/>
      <c r="CD157" s="139"/>
      <c r="CE157" s="139"/>
      <c r="CG157" s="139"/>
      <c r="CH157" s="139"/>
      <c r="CI157" s="139"/>
    </row>
    <row r="158" ht="15.0" customHeight="1">
      <c r="A158" s="147"/>
      <c r="B158" s="138"/>
      <c r="C158" s="52"/>
      <c r="D158" s="138"/>
      <c r="E158" s="148"/>
      <c r="F158" s="149"/>
      <c r="G158" s="45"/>
      <c r="I158" s="148"/>
      <c r="J158" s="149"/>
      <c r="K158" s="45"/>
      <c r="M158" s="148"/>
      <c r="N158" s="149"/>
      <c r="O158" s="45"/>
      <c r="Q158" s="148"/>
      <c r="R158" s="149"/>
      <c r="S158" s="45"/>
      <c r="U158" s="148"/>
      <c r="V158" s="149"/>
      <c r="W158" s="45"/>
      <c r="Y158" s="148"/>
      <c r="Z158" s="149"/>
      <c r="AA158" s="45"/>
      <c r="AC158" s="148"/>
      <c r="AD158" s="149"/>
      <c r="AE158" s="45"/>
      <c r="AG158" s="148"/>
      <c r="AH158" s="149"/>
      <c r="AI158" s="45"/>
      <c r="AK158" s="148"/>
      <c r="AL158" s="149"/>
      <c r="AM158" s="45"/>
      <c r="AO158" s="148"/>
      <c r="AP158" s="149"/>
      <c r="AQ158" s="45"/>
      <c r="AS158" s="148"/>
      <c r="AT158" s="149"/>
      <c r="AU158" s="45"/>
      <c r="AW158" s="148"/>
      <c r="AX158" s="149"/>
      <c r="AY158" s="45"/>
      <c r="BA158" s="148"/>
      <c r="BB158" s="149"/>
      <c r="BC158" s="45"/>
      <c r="BE158" s="148"/>
      <c r="BF158" s="149"/>
      <c r="BG158" s="45"/>
      <c r="BI158" s="148"/>
      <c r="BJ158" s="149"/>
      <c r="BK158" s="45"/>
      <c r="BM158" s="148"/>
      <c r="BN158" s="149"/>
      <c r="BO158" s="45"/>
      <c r="BQ158" s="148"/>
      <c r="BR158" s="149"/>
      <c r="BS158" s="45"/>
      <c r="BU158" s="148"/>
      <c r="BV158" s="149"/>
      <c r="BW158" s="45"/>
      <c r="BY158" s="148"/>
      <c r="BZ158" s="149"/>
      <c r="CA158" s="45"/>
      <c r="CC158" s="148"/>
      <c r="CD158" s="149"/>
      <c r="CE158" s="45"/>
      <c r="CG158" s="148"/>
      <c r="CH158" s="149"/>
      <c r="CI158" s="45"/>
    </row>
    <row r="159" ht="15.0" customHeight="1">
      <c r="A159" s="147"/>
      <c r="B159" s="140"/>
      <c r="C159" s="57"/>
      <c r="D159" s="140"/>
      <c r="E159" s="138"/>
      <c r="G159" s="52"/>
      <c r="I159" s="138"/>
      <c r="K159" s="52"/>
      <c r="M159" s="138"/>
      <c r="O159" s="52"/>
      <c r="Q159" s="138"/>
      <c r="S159" s="52"/>
      <c r="U159" s="138"/>
      <c r="W159" s="52"/>
      <c r="Y159" s="138"/>
      <c r="AA159" s="52"/>
      <c r="AC159" s="138"/>
      <c r="AE159" s="52"/>
      <c r="AG159" s="138"/>
      <c r="AI159" s="52"/>
      <c r="AK159" s="138"/>
      <c r="AM159" s="52"/>
      <c r="AO159" s="138"/>
      <c r="AQ159" s="52"/>
      <c r="AS159" s="138"/>
      <c r="AU159" s="52"/>
      <c r="AW159" s="138"/>
      <c r="AY159" s="52"/>
      <c r="BA159" s="138"/>
      <c r="BC159" s="52"/>
      <c r="BE159" s="138"/>
      <c r="BG159" s="52"/>
      <c r="BI159" s="138"/>
      <c r="BK159" s="52"/>
      <c r="BM159" s="138"/>
      <c r="BO159" s="52"/>
      <c r="BQ159" s="138"/>
      <c r="BS159" s="52"/>
      <c r="BU159" s="138"/>
      <c r="BW159" s="52"/>
      <c r="BY159" s="138"/>
      <c r="CA159" s="52"/>
      <c r="CC159" s="138"/>
      <c r="CE159" s="52"/>
      <c r="CG159" s="138"/>
      <c r="CI159" s="52"/>
    </row>
    <row r="160" ht="24.0" customHeight="1">
      <c r="A160" s="147"/>
      <c r="B160" s="173" t="s">
        <v>168</v>
      </c>
      <c r="C160" s="174" t="s">
        <v>165</v>
      </c>
      <c r="D160" s="175" t="s">
        <v>164</v>
      </c>
      <c r="E160" s="140"/>
      <c r="F160" s="56"/>
      <c r="G160" s="57"/>
      <c r="I160" s="140"/>
      <c r="J160" s="56"/>
      <c r="K160" s="57"/>
      <c r="M160" s="140"/>
      <c r="N160" s="56"/>
      <c r="O160" s="57"/>
      <c r="Q160" s="140"/>
      <c r="R160" s="56"/>
      <c r="S160" s="57"/>
      <c r="U160" s="140"/>
      <c r="V160" s="56"/>
      <c r="W160" s="57"/>
      <c r="Y160" s="140"/>
      <c r="Z160" s="56"/>
      <c r="AA160" s="57"/>
      <c r="AC160" s="140"/>
      <c r="AD160" s="56"/>
      <c r="AE160" s="57"/>
      <c r="AG160" s="140"/>
      <c r="AH160" s="56"/>
      <c r="AI160" s="57"/>
      <c r="AK160" s="140"/>
      <c r="AL160" s="56"/>
      <c r="AM160" s="57"/>
      <c r="AO160" s="140"/>
      <c r="AP160" s="56"/>
      <c r="AQ160" s="57"/>
      <c r="AS160" s="140"/>
      <c r="AT160" s="56"/>
      <c r="AU160" s="57"/>
      <c r="AW160" s="140"/>
      <c r="AX160" s="56"/>
      <c r="AY160" s="57"/>
      <c r="BA160" s="140"/>
      <c r="BB160" s="56"/>
      <c r="BC160" s="57"/>
      <c r="BE160" s="140"/>
      <c r="BF160" s="56"/>
      <c r="BG160" s="57"/>
      <c r="BI160" s="140"/>
      <c r="BJ160" s="56"/>
      <c r="BK160" s="57"/>
      <c r="BM160" s="140"/>
      <c r="BN160" s="56"/>
      <c r="BO160" s="57"/>
      <c r="BQ160" s="140"/>
      <c r="BR160" s="56"/>
      <c r="BS160" s="57"/>
      <c r="BU160" s="140"/>
      <c r="BV160" s="56"/>
      <c r="BW160" s="57"/>
      <c r="BY160" s="140"/>
      <c r="BZ160" s="56"/>
      <c r="CA160" s="57"/>
      <c r="CC160" s="140"/>
      <c r="CD160" s="56"/>
      <c r="CE160" s="57"/>
      <c r="CG160" s="140"/>
      <c r="CH160" s="56"/>
      <c r="CI160" s="57"/>
    </row>
    <row r="161" ht="27.75" customHeight="1">
      <c r="A161" s="139"/>
      <c r="B161" s="153">
        <v>3.0</v>
      </c>
      <c r="C161" s="177">
        <v>46007.0</v>
      </c>
      <c r="D161" s="155" t="s">
        <v>174</v>
      </c>
      <c r="E161" s="156" t="s">
        <v>171</v>
      </c>
      <c r="F161" s="38"/>
      <c r="G161" s="157"/>
      <c r="I161" s="156" t="s">
        <v>171</v>
      </c>
      <c r="J161" s="38"/>
      <c r="K161" s="157"/>
      <c r="M161" s="156" t="s">
        <v>171</v>
      </c>
      <c r="N161" s="38"/>
      <c r="O161" s="157"/>
      <c r="Q161" s="156" t="s">
        <v>171</v>
      </c>
      <c r="R161" s="38"/>
      <c r="S161" s="157"/>
      <c r="U161" s="156" t="s">
        <v>171</v>
      </c>
      <c r="V161" s="38"/>
      <c r="W161" s="157"/>
      <c r="Y161" s="156" t="s">
        <v>171</v>
      </c>
      <c r="Z161" s="38"/>
      <c r="AA161" s="157"/>
      <c r="AC161" s="156" t="s">
        <v>171</v>
      </c>
      <c r="AD161" s="38"/>
      <c r="AE161" s="157"/>
      <c r="AG161" s="156" t="s">
        <v>171</v>
      </c>
      <c r="AH161" s="38"/>
      <c r="AI161" s="157"/>
      <c r="AK161" s="156" t="s">
        <v>171</v>
      </c>
      <c r="AL161" s="38"/>
      <c r="AM161" s="157"/>
      <c r="AO161" s="156" t="s">
        <v>171</v>
      </c>
      <c r="AP161" s="38"/>
      <c r="AQ161" s="157"/>
      <c r="AS161" s="156" t="s">
        <v>171</v>
      </c>
      <c r="AT161" s="38"/>
      <c r="AU161" s="157"/>
      <c r="AW161" s="156" t="s">
        <v>171</v>
      </c>
      <c r="AX161" s="38"/>
      <c r="AY161" s="157"/>
      <c r="BA161" s="156" t="s">
        <v>171</v>
      </c>
      <c r="BB161" s="38"/>
      <c r="BC161" s="157"/>
      <c r="BE161" s="156" t="s">
        <v>171</v>
      </c>
      <c r="BF161" s="38"/>
      <c r="BG161" s="157"/>
      <c r="BI161" s="156" t="s">
        <v>171</v>
      </c>
      <c r="BJ161" s="38"/>
      <c r="BK161" s="157"/>
      <c r="BM161" s="156" t="s">
        <v>171</v>
      </c>
      <c r="BN161" s="38"/>
      <c r="BO161" s="157"/>
      <c r="BQ161" s="156" t="s">
        <v>171</v>
      </c>
      <c r="BR161" s="38"/>
      <c r="BS161" s="157"/>
      <c r="BU161" s="156" t="s">
        <v>171</v>
      </c>
      <c r="BV161" s="38"/>
      <c r="BW161" s="157"/>
      <c r="BY161" s="156" t="s">
        <v>171</v>
      </c>
      <c r="BZ161" s="38"/>
      <c r="CA161" s="157"/>
      <c r="CC161" s="156" t="s">
        <v>171</v>
      </c>
      <c r="CD161" s="38"/>
      <c r="CE161" s="157"/>
      <c r="CG161" s="156" t="s">
        <v>171</v>
      </c>
      <c r="CH161" s="38"/>
      <c r="CI161" s="157"/>
    </row>
    <row r="162">
      <c r="A162" s="169"/>
      <c r="E162" s="170"/>
      <c r="F162" s="159"/>
      <c r="G162" s="159"/>
      <c r="H162" s="159"/>
      <c r="I162" s="159"/>
      <c r="J162" s="159"/>
      <c r="K162" s="159"/>
      <c r="L162" s="159"/>
      <c r="M162" s="159"/>
      <c r="N162" s="159"/>
      <c r="O162" s="159"/>
      <c r="P162" s="159"/>
      <c r="Q162" s="159"/>
      <c r="R162" s="159"/>
      <c r="S162" s="159"/>
      <c r="T162" s="159"/>
      <c r="U162" s="159"/>
      <c r="V162" s="159"/>
      <c r="W162" s="159"/>
      <c r="X162" s="159"/>
      <c r="Y162" s="159"/>
      <c r="Z162" s="159"/>
      <c r="AA162" s="159"/>
      <c r="AB162" s="159"/>
      <c r="AC162" s="159"/>
      <c r="AD162" s="159"/>
      <c r="AE162" s="159"/>
      <c r="AF162" s="159"/>
      <c r="AG162" s="159"/>
      <c r="AH162" s="159"/>
      <c r="AI162" s="159"/>
      <c r="AJ162" s="159"/>
      <c r="AK162" s="159"/>
      <c r="AL162" s="159"/>
      <c r="AM162" s="159"/>
      <c r="AN162" s="159"/>
      <c r="AO162" s="159"/>
      <c r="AP162" s="159"/>
      <c r="AQ162" s="159"/>
      <c r="AR162" s="159"/>
      <c r="AS162" s="159"/>
      <c r="AT162" s="159"/>
      <c r="AU162" s="159"/>
      <c r="AV162" s="159"/>
      <c r="AW162" s="159"/>
      <c r="AX162" s="159"/>
      <c r="AY162" s="159"/>
      <c r="AZ162" s="159"/>
      <c r="BA162" s="159"/>
      <c r="BB162" s="159"/>
      <c r="BC162" s="159"/>
      <c r="BD162" s="159"/>
      <c r="BE162" s="159"/>
      <c r="BF162" s="159"/>
      <c r="BG162" s="159"/>
      <c r="BH162" s="159"/>
      <c r="BI162" s="159"/>
      <c r="BJ162" s="159"/>
      <c r="BK162" s="159"/>
      <c r="BL162" s="159"/>
      <c r="BM162" s="159"/>
      <c r="BN162" s="159"/>
      <c r="BO162" s="159"/>
      <c r="BP162" s="159"/>
      <c r="BQ162" s="159"/>
      <c r="BR162" s="159"/>
      <c r="BS162" s="159"/>
      <c r="BT162" s="159"/>
      <c r="BU162" s="159"/>
      <c r="BV162" s="159"/>
      <c r="BW162" s="159"/>
      <c r="BX162" s="159"/>
      <c r="BY162" s="159"/>
      <c r="BZ162" s="159"/>
      <c r="CA162" s="159"/>
      <c r="CB162" s="159"/>
      <c r="CC162" s="159"/>
      <c r="CD162" s="159"/>
      <c r="CE162" s="159"/>
      <c r="CF162" s="159"/>
      <c r="CG162" s="159"/>
      <c r="CH162" s="159"/>
      <c r="CI162" s="38"/>
    </row>
    <row r="163">
      <c r="A163" s="130" t="s">
        <v>139</v>
      </c>
      <c r="B163" s="131" t="s">
        <v>202</v>
      </c>
      <c r="C163" s="45"/>
      <c r="D163" s="132" t="s">
        <v>141</v>
      </c>
      <c r="E163" s="133" t="s">
        <v>142</v>
      </c>
      <c r="F163" s="134" t="s">
        <v>143</v>
      </c>
      <c r="G163" s="45"/>
      <c r="H163" s="171"/>
      <c r="I163" s="133" t="s">
        <v>142</v>
      </c>
      <c r="J163" s="134" t="s">
        <v>144</v>
      </c>
      <c r="K163" s="45"/>
      <c r="L163" s="135"/>
      <c r="M163" s="133" t="s">
        <v>142</v>
      </c>
      <c r="N163" s="136" t="s">
        <v>145</v>
      </c>
      <c r="O163" s="45"/>
      <c r="P163" s="137"/>
      <c r="Q163" s="133" t="s">
        <v>142</v>
      </c>
      <c r="R163" s="136" t="s">
        <v>146</v>
      </c>
      <c r="S163" s="45"/>
      <c r="T163" s="137"/>
      <c r="U163" s="133" t="s">
        <v>142</v>
      </c>
      <c r="V163" s="136" t="s">
        <v>147</v>
      </c>
      <c r="W163" s="45"/>
      <c r="X163" s="137"/>
      <c r="Y163" s="133" t="s">
        <v>142</v>
      </c>
      <c r="Z163" s="136" t="s">
        <v>148</v>
      </c>
      <c r="AA163" s="45"/>
      <c r="AB163" s="137"/>
      <c r="AC163" s="133" t="s">
        <v>142</v>
      </c>
      <c r="AD163" s="136" t="s">
        <v>149</v>
      </c>
      <c r="AE163" s="45"/>
      <c r="AF163" s="137"/>
      <c r="AG163" s="133" t="s">
        <v>142</v>
      </c>
      <c r="AH163" s="136" t="s">
        <v>150</v>
      </c>
      <c r="AI163" s="45"/>
      <c r="AJ163" s="137"/>
      <c r="AK163" s="133" t="s">
        <v>142</v>
      </c>
      <c r="AL163" s="136" t="s">
        <v>151</v>
      </c>
      <c r="AM163" s="45"/>
      <c r="AN163" s="137"/>
      <c r="AO163" s="133" t="s">
        <v>142</v>
      </c>
      <c r="AP163" s="136" t="s">
        <v>152</v>
      </c>
      <c r="AQ163" s="45"/>
      <c r="AR163" s="137"/>
      <c r="AS163" s="133" t="s">
        <v>142</v>
      </c>
      <c r="AT163" s="136" t="s">
        <v>153</v>
      </c>
      <c r="AU163" s="45"/>
      <c r="AV163" s="137"/>
      <c r="AW163" s="133" t="s">
        <v>142</v>
      </c>
      <c r="AX163" s="136" t="s">
        <v>154</v>
      </c>
      <c r="AY163" s="45"/>
      <c r="AZ163" s="137"/>
      <c r="BA163" s="133" t="s">
        <v>142</v>
      </c>
      <c r="BB163" s="136" t="s">
        <v>155</v>
      </c>
      <c r="BC163" s="45"/>
      <c r="BD163" s="137"/>
      <c r="BE163" s="133" t="s">
        <v>142</v>
      </c>
      <c r="BF163" s="136" t="s">
        <v>156</v>
      </c>
      <c r="BG163" s="45"/>
      <c r="BH163" s="137"/>
      <c r="BI163" s="133" t="s">
        <v>142</v>
      </c>
      <c r="BJ163" s="136" t="s">
        <v>157</v>
      </c>
      <c r="BK163" s="45"/>
      <c r="BL163" s="137"/>
      <c r="BM163" s="133" t="s">
        <v>142</v>
      </c>
      <c r="BN163" s="136" t="s">
        <v>158</v>
      </c>
      <c r="BO163" s="45"/>
      <c r="BP163" s="137"/>
      <c r="BQ163" s="133" t="s">
        <v>142</v>
      </c>
      <c r="BR163" s="136" t="s">
        <v>159</v>
      </c>
      <c r="BS163" s="45"/>
      <c r="BT163" s="137"/>
      <c r="BU163" s="133" t="s">
        <v>142</v>
      </c>
      <c r="BV163" s="136" t="s">
        <v>160</v>
      </c>
      <c r="BW163" s="45"/>
      <c r="BX163" s="137"/>
      <c r="BY163" s="133" t="s">
        <v>142</v>
      </c>
      <c r="BZ163" s="136" t="s">
        <v>161</v>
      </c>
      <c r="CA163" s="45"/>
      <c r="CB163" s="137"/>
      <c r="CC163" s="133" t="s">
        <v>142</v>
      </c>
      <c r="CD163" s="136" t="s">
        <v>162</v>
      </c>
      <c r="CE163" s="45"/>
      <c r="CF163" s="137"/>
      <c r="CG163" s="133" t="s">
        <v>142</v>
      </c>
      <c r="CH163" s="136" t="s">
        <v>163</v>
      </c>
      <c r="CI163" s="45"/>
    </row>
    <row r="164">
      <c r="A164" s="138"/>
      <c r="B164" s="138"/>
      <c r="C164" s="52"/>
      <c r="D164" s="138"/>
      <c r="E164" s="139"/>
      <c r="F164" s="140"/>
      <c r="G164" s="57"/>
      <c r="I164" s="139"/>
      <c r="J164" s="140"/>
      <c r="K164" s="57"/>
      <c r="M164" s="139"/>
      <c r="N164" s="140"/>
      <c r="O164" s="57"/>
      <c r="Q164" s="139"/>
      <c r="R164" s="140"/>
      <c r="S164" s="57"/>
      <c r="U164" s="139"/>
      <c r="V164" s="140"/>
      <c r="W164" s="57"/>
      <c r="Y164" s="139"/>
      <c r="Z164" s="140"/>
      <c r="AA164" s="57"/>
      <c r="AC164" s="139"/>
      <c r="AD164" s="140"/>
      <c r="AE164" s="57"/>
      <c r="AG164" s="139"/>
      <c r="AH164" s="140"/>
      <c r="AI164" s="57"/>
      <c r="AK164" s="139"/>
      <c r="AL164" s="140"/>
      <c r="AM164" s="57"/>
      <c r="AO164" s="139"/>
      <c r="AP164" s="140"/>
      <c r="AQ164" s="57"/>
      <c r="AS164" s="139"/>
      <c r="AT164" s="140"/>
      <c r="AU164" s="57"/>
      <c r="AW164" s="139"/>
      <c r="AX164" s="140"/>
      <c r="AY164" s="57"/>
      <c r="BA164" s="139"/>
      <c r="BB164" s="140"/>
      <c r="BC164" s="57"/>
      <c r="BE164" s="139"/>
      <c r="BF164" s="140"/>
      <c r="BG164" s="57"/>
      <c r="BI164" s="139"/>
      <c r="BJ164" s="140"/>
      <c r="BK164" s="57"/>
      <c r="BM164" s="139"/>
      <c r="BN164" s="140"/>
      <c r="BO164" s="57"/>
      <c r="BQ164" s="139"/>
      <c r="BR164" s="140"/>
      <c r="BS164" s="57"/>
      <c r="BU164" s="139"/>
      <c r="BV164" s="140"/>
      <c r="BW164" s="57"/>
      <c r="BY164" s="139"/>
      <c r="BZ164" s="140"/>
      <c r="CA164" s="57"/>
      <c r="CC164" s="139"/>
      <c r="CD164" s="140"/>
      <c r="CE164" s="57"/>
      <c r="CG164" s="139"/>
      <c r="CH164" s="140"/>
      <c r="CI164" s="57"/>
    </row>
    <row r="165">
      <c r="A165" s="138"/>
      <c r="B165" s="138"/>
      <c r="C165" s="52"/>
      <c r="D165" s="138"/>
      <c r="E165" s="141">
        <v>46023.0</v>
      </c>
      <c r="F165" s="133" t="s">
        <v>164</v>
      </c>
      <c r="G165" s="133" t="s">
        <v>165</v>
      </c>
      <c r="I165" s="141">
        <v>46023.0</v>
      </c>
      <c r="J165" s="133" t="s">
        <v>164</v>
      </c>
      <c r="K165" s="133" t="s">
        <v>165</v>
      </c>
      <c r="M165" s="141">
        <v>46023.0</v>
      </c>
      <c r="N165" s="133" t="s">
        <v>164</v>
      </c>
      <c r="O165" s="133" t="s">
        <v>165</v>
      </c>
      <c r="Q165" s="141">
        <v>46023.0</v>
      </c>
      <c r="R165" s="133" t="s">
        <v>164</v>
      </c>
      <c r="S165" s="133" t="s">
        <v>165</v>
      </c>
      <c r="U165" s="141">
        <v>46023.0</v>
      </c>
      <c r="V165" s="133" t="s">
        <v>164</v>
      </c>
      <c r="W165" s="133" t="s">
        <v>165</v>
      </c>
      <c r="Y165" s="141">
        <v>46023.0</v>
      </c>
      <c r="Z165" s="133" t="s">
        <v>164</v>
      </c>
      <c r="AA165" s="133" t="s">
        <v>165</v>
      </c>
      <c r="AC165" s="141">
        <v>46023.0</v>
      </c>
      <c r="AD165" s="133" t="s">
        <v>164</v>
      </c>
      <c r="AE165" s="133" t="s">
        <v>165</v>
      </c>
      <c r="AG165" s="141">
        <v>46023.0</v>
      </c>
      <c r="AH165" s="133" t="s">
        <v>164</v>
      </c>
      <c r="AI165" s="133" t="s">
        <v>165</v>
      </c>
      <c r="AK165" s="141">
        <v>46023.0</v>
      </c>
      <c r="AL165" s="133" t="s">
        <v>164</v>
      </c>
      <c r="AM165" s="133" t="s">
        <v>165</v>
      </c>
      <c r="AO165" s="141">
        <v>46023.0</v>
      </c>
      <c r="AP165" s="133" t="s">
        <v>164</v>
      </c>
      <c r="AQ165" s="133" t="s">
        <v>165</v>
      </c>
      <c r="AS165" s="141">
        <v>46023.0</v>
      </c>
      <c r="AT165" s="133" t="s">
        <v>164</v>
      </c>
      <c r="AU165" s="133" t="s">
        <v>165</v>
      </c>
      <c r="AW165" s="141">
        <v>46023.0</v>
      </c>
      <c r="AX165" s="133" t="s">
        <v>164</v>
      </c>
      <c r="AY165" s="133" t="s">
        <v>165</v>
      </c>
      <c r="BA165" s="141">
        <v>46023.0</v>
      </c>
      <c r="BB165" s="133" t="s">
        <v>164</v>
      </c>
      <c r="BC165" s="133" t="s">
        <v>165</v>
      </c>
      <c r="BE165" s="141">
        <v>46023.0</v>
      </c>
      <c r="BF165" s="133" t="s">
        <v>164</v>
      </c>
      <c r="BG165" s="133" t="s">
        <v>165</v>
      </c>
      <c r="BI165" s="141">
        <v>46023.0</v>
      </c>
      <c r="BJ165" s="133" t="s">
        <v>164</v>
      </c>
      <c r="BK165" s="133" t="s">
        <v>165</v>
      </c>
      <c r="BM165" s="141">
        <v>46023.0</v>
      </c>
      <c r="BN165" s="133" t="s">
        <v>164</v>
      </c>
      <c r="BO165" s="133" t="s">
        <v>165</v>
      </c>
      <c r="BQ165" s="141">
        <v>46023.0</v>
      </c>
      <c r="BR165" s="133" t="s">
        <v>164</v>
      </c>
      <c r="BS165" s="133" t="s">
        <v>165</v>
      </c>
      <c r="BU165" s="141">
        <v>46023.0</v>
      </c>
      <c r="BV165" s="133" t="s">
        <v>164</v>
      </c>
      <c r="BW165" s="133" t="s">
        <v>165</v>
      </c>
      <c r="BY165" s="141">
        <v>46023.0</v>
      </c>
      <c r="BZ165" s="133" t="s">
        <v>164</v>
      </c>
      <c r="CA165" s="133" t="s">
        <v>165</v>
      </c>
      <c r="CC165" s="141">
        <v>46023.0</v>
      </c>
      <c r="CD165" s="133" t="s">
        <v>164</v>
      </c>
      <c r="CE165" s="133" t="s">
        <v>165</v>
      </c>
      <c r="CG165" s="141">
        <v>46023.0</v>
      </c>
      <c r="CH165" s="133" t="s">
        <v>164</v>
      </c>
      <c r="CI165" s="133" t="s">
        <v>165</v>
      </c>
    </row>
    <row r="166">
      <c r="A166" s="140"/>
      <c r="B166" s="140"/>
      <c r="C166" s="57"/>
      <c r="D166" s="140"/>
      <c r="E166" s="139"/>
      <c r="F166" s="139"/>
      <c r="G166" s="139"/>
      <c r="I166" s="139"/>
      <c r="J166" s="139"/>
      <c r="K166" s="139"/>
      <c r="M166" s="139"/>
      <c r="N166" s="139"/>
      <c r="O166" s="139"/>
      <c r="Q166" s="139"/>
      <c r="R166" s="139"/>
      <c r="S166" s="139"/>
      <c r="U166" s="139"/>
      <c r="V166" s="139"/>
      <c r="W166" s="139"/>
      <c r="Y166" s="139"/>
      <c r="Z166" s="139"/>
      <c r="AA166" s="139"/>
      <c r="AC166" s="139"/>
      <c r="AD166" s="139"/>
      <c r="AE166" s="139"/>
      <c r="AG166" s="139"/>
      <c r="AH166" s="139"/>
      <c r="AI166" s="139"/>
      <c r="AK166" s="139"/>
      <c r="AL166" s="139"/>
      <c r="AM166" s="139"/>
      <c r="AO166" s="139"/>
      <c r="AP166" s="139"/>
      <c r="AQ166" s="139"/>
      <c r="AS166" s="139"/>
      <c r="AT166" s="139"/>
      <c r="AU166" s="139"/>
      <c r="AW166" s="139"/>
      <c r="AX166" s="139"/>
      <c r="AY166" s="139"/>
      <c r="BA166" s="139"/>
      <c r="BB166" s="139"/>
      <c r="BC166" s="139"/>
      <c r="BE166" s="139"/>
      <c r="BF166" s="139"/>
      <c r="BG166" s="139"/>
      <c r="BI166" s="139"/>
      <c r="BJ166" s="139"/>
      <c r="BK166" s="139"/>
      <c r="BM166" s="139"/>
      <c r="BN166" s="139"/>
      <c r="BO166" s="139"/>
      <c r="BQ166" s="139"/>
      <c r="BR166" s="139"/>
      <c r="BS166" s="139"/>
      <c r="BU166" s="139"/>
      <c r="BV166" s="139"/>
      <c r="BW166" s="139"/>
      <c r="BY166" s="139"/>
      <c r="BZ166" s="139"/>
      <c r="CA166" s="139"/>
      <c r="CC166" s="139"/>
      <c r="CD166" s="139"/>
      <c r="CE166" s="139"/>
      <c r="CG166" s="139"/>
      <c r="CH166" s="139"/>
      <c r="CI166" s="139"/>
    </row>
    <row r="167">
      <c r="A167" s="142" t="b">
        <v>0</v>
      </c>
      <c r="B167" s="143" t="s">
        <v>203</v>
      </c>
      <c r="C167" s="45"/>
      <c r="D167" s="172" t="s">
        <v>38</v>
      </c>
      <c r="E167" s="145" t="s">
        <v>167</v>
      </c>
      <c r="F167" s="146"/>
      <c r="G167" s="146"/>
      <c r="I167" s="145" t="s">
        <v>167</v>
      </c>
      <c r="J167" s="146"/>
      <c r="K167" s="146"/>
      <c r="M167" s="145" t="s">
        <v>167</v>
      </c>
      <c r="N167" s="146"/>
      <c r="O167" s="146"/>
      <c r="Q167" s="145" t="s">
        <v>167</v>
      </c>
      <c r="R167" s="146"/>
      <c r="S167" s="146"/>
      <c r="U167" s="145" t="s">
        <v>167</v>
      </c>
      <c r="V167" s="146"/>
      <c r="W167" s="146"/>
      <c r="Y167" s="145" t="s">
        <v>167</v>
      </c>
      <c r="Z167" s="146"/>
      <c r="AA167" s="146"/>
      <c r="AC167" s="145" t="s">
        <v>167</v>
      </c>
      <c r="AD167" s="146"/>
      <c r="AE167" s="146"/>
      <c r="AG167" s="145" t="s">
        <v>167</v>
      </c>
      <c r="AH167" s="146"/>
      <c r="AI167" s="146"/>
      <c r="AK167" s="145" t="s">
        <v>167</v>
      </c>
      <c r="AL167" s="146"/>
      <c r="AM167" s="146"/>
      <c r="AO167" s="145" t="s">
        <v>167</v>
      </c>
      <c r="AP167" s="146"/>
      <c r="AQ167" s="146"/>
      <c r="AS167" s="145" t="s">
        <v>167</v>
      </c>
      <c r="AT167" s="146"/>
      <c r="AU167" s="146"/>
      <c r="AW167" s="145" t="s">
        <v>167</v>
      </c>
      <c r="AX167" s="146"/>
      <c r="AY167" s="146"/>
      <c r="BA167" s="145" t="s">
        <v>167</v>
      </c>
      <c r="BB167" s="146"/>
      <c r="BC167" s="146"/>
      <c r="BE167" s="145" t="s">
        <v>167</v>
      </c>
      <c r="BF167" s="146"/>
      <c r="BG167" s="146"/>
      <c r="BI167" s="145" t="s">
        <v>167</v>
      </c>
      <c r="BJ167" s="146"/>
      <c r="BK167" s="146"/>
      <c r="BM167" s="145" t="s">
        <v>167</v>
      </c>
      <c r="BN167" s="146"/>
      <c r="BO167" s="146"/>
      <c r="BQ167" s="145" t="s">
        <v>167</v>
      </c>
      <c r="BR167" s="146"/>
      <c r="BS167" s="146"/>
      <c r="BU167" s="145" t="s">
        <v>167</v>
      </c>
      <c r="BV167" s="146"/>
      <c r="BW167" s="146"/>
      <c r="BY167" s="145" t="s">
        <v>167</v>
      </c>
      <c r="BZ167" s="146"/>
      <c r="CA167" s="146"/>
      <c r="CC167" s="145" t="s">
        <v>167</v>
      </c>
      <c r="CD167" s="146"/>
      <c r="CE167" s="146"/>
      <c r="CG167" s="145" t="s">
        <v>167</v>
      </c>
      <c r="CH167" s="146"/>
      <c r="CI167" s="146"/>
    </row>
    <row r="168">
      <c r="A168" s="147"/>
      <c r="B168" s="138"/>
      <c r="C168" s="52"/>
      <c r="D168" s="138"/>
      <c r="E168" s="139"/>
      <c r="F168" s="139"/>
      <c r="G168" s="139"/>
      <c r="I168" s="139"/>
      <c r="J168" s="139"/>
      <c r="K168" s="139"/>
      <c r="M168" s="139"/>
      <c r="N168" s="139"/>
      <c r="O168" s="139"/>
      <c r="Q168" s="139"/>
      <c r="R168" s="139"/>
      <c r="S168" s="139"/>
      <c r="U168" s="139"/>
      <c r="V168" s="139"/>
      <c r="W168" s="139"/>
      <c r="Y168" s="139"/>
      <c r="Z168" s="139"/>
      <c r="AA168" s="139"/>
      <c r="AC168" s="139"/>
      <c r="AD168" s="139"/>
      <c r="AE168" s="139"/>
      <c r="AG168" s="139"/>
      <c r="AH168" s="139"/>
      <c r="AI168" s="139"/>
      <c r="AK168" s="139"/>
      <c r="AL168" s="139"/>
      <c r="AM168" s="139"/>
      <c r="AO168" s="139"/>
      <c r="AP168" s="139"/>
      <c r="AQ168" s="139"/>
      <c r="AS168" s="139"/>
      <c r="AT168" s="139"/>
      <c r="AU168" s="139"/>
      <c r="AW168" s="139"/>
      <c r="AX168" s="139"/>
      <c r="AY168" s="139"/>
      <c r="BA168" s="139"/>
      <c r="BB168" s="139"/>
      <c r="BC168" s="139"/>
      <c r="BE168" s="139"/>
      <c r="BF168" s="139"/>
      <c r="BG168" s="139"/>
      <c r="BI168" s="139"/>
      <c r="BJ168" s="139"/>
      <c r="BK168" s="139"/>
      <c r="BM168" s="139"/>
      <c r="BN168" s="139"/>
      <c r="BO168" s="139"/>
      <c r="BQ168" s="139"/>
      <c r="BR168" s="139"/>
      <c r="BS168" s="139"/>
      <c r="BU168" s="139"/>
      <c r="BV168" s="139"/>
      <c r="BW168" s="139"/>
      <c r="BY168" s="139"/>
      <c r="BZ168" s="139"/>
      <c r="CA168" s="139"/>
      <c r="CC168" s="139"/>
      <c r="CD168" s="139"/>
      <c r="CE168" s="139"/>
      <c r="CG168" s="139"/>
      <c r="CH168" s="139"/>
      <c r="CI168" s="139"/>
    </row>
    <row r="169" ht="15.0" customHeight="1">
      <c r="A169" s="147"/>
      <c r="B169" s="138"/>
      <c r="C169" s="52"/>
      <c r="D169" s="138"/>
      <c r="E169" s="148"/>
      <c r="F169" s="149"/>
      <c r="G169" s="45"/>
      <c r="I169" s="148"/>
      <c r="J169" s="149"/>
      <c r="K169" s="45"/>
      <c r="M169" s="148"/>
      <c r="N169" s="149"/>
      <c r="O169" s="45"/>
      <c r="Q169" s="148"/>
      <c r="R169" s="149"/>
      <c r="S169" s="45"/>
      <c r="U169" s="148"/>
      <c r="V169" s="149"/>
      <c r="W169" s="45"/>
      <c r="Y169" s="148"/>
      <c r="Z169" s="149"/>
      <c r="AA169" s="45"/>
      <c r="AC169" s="148"/>
      <c r="AD169" s="149"/>
      <c r="AE169" s="45"/>
      <c r="AG169" s="148"/>
      <c r="AH169" s="149"/>
      <c r="AI169" s="45"/>
      <c r="AK169" s="148"/>
      <c r="AL169" s="149"/>
      <c r="AM169" s="45"/>
      <c r="AO169" s="148"/>
      <c r="AP169" s="149"/>
      <c r="AQ169" s="45"/>
      <c r="AS169" s="148"/>
      <c r="AT169" s="149"/>
      <c r="AU169" s="45"/>
      <c r="AW169" s="148"/>
      <c r="AX169" s="149"/>
      <c r="AY169" s="45"/>
      <c r="BA169" s="148"/>
      <c r="BB169" s="149"/>
      <c r="BC169" s="45"/>
      <c r="BE169" s="148"/>
      <c r="BF169" s="149"/>
      <c r="BG169" s="45"/>
      <c r="BI169" s="148"/>
      <c r="BJ169" s="149"/>
      <c r="BK169" s="45"/>
      <c r="BM169" s="148"/>
      <c r="BN169" s="149"/>
      <c r="BO169" s="45"/>
      <c r="BQ169" s="148"/>
      <c r="BR169" s="149"/>
      <c r="BS169" s="45"/>
      <c r="BU169" s="148"/>
      <c r="BV169" s="149"/>
      <c r="BW169" s="45"/>
      <c r="BY169" s="148"/>
      <c r="BZ169" s="149"/>
      <c r="CA169" s="45"/>
      <c r="CC169" s="148"/>
      <c r="CD169" s="149"/>
      <c r="CE169" s="45"/>
      <c r="CG169" s="148"/>
      <c r="CH169" s="149"/>
      <c r="CI169" s="45"/>
    </row>
    <row r="170" ht="15.0" customHeight="1">
      <c r="A170" s="147"/>
      <c r="B170" s="140"/>
      <c r="C170" s="57"/>
      <c r="D170" s="140"/>
      <c r="E170" s="138"/>
      <c r="G170" s="52"/>
      <c r="I170" s="138"/>
      <c r="K170" s="52"/>
      <c r="M170" s="138"/>
      <c r="O170" s="52"/>
      <c r="Q170" s="138"/>
      <c r="S170" s="52"/>
      <c r="U170" s="138"/>
      <c r="W170" s="52"/>
      <c r="Y170" s="138"/>
      <c r="AA170" s="52"/>
      <c r="AC170" s="138"/>
      <c r="AE170" s="52"/>
      <c r="AG170" s="138"/>
      <c r="AI170" s="52"/>
      <c r="AK170" s="138"/>
      <c r="AM170" s="52"/>
      <c r="AO170" s="138"/>
      <c r="AQ170" s="52"/>
      <c r="AS170" s="138"/>
      <c r="AU170" s="52"/>
      <c r="AW170" s="138"/>
      <c r="AY170" s="52"/>
      <c r="BA170" s="138"/>
      <c r="BC170" s="52"/>
      <c r="BE170" s="138"/>
      <c r="BG170" s="52"/>
      <c r="BI170" s="138"/>
      <c r="BK170" s="52"/>
      <c r="BM170" s="138"/>
      <c r="BO170" s="52"/>
      <c r="BQ170" s="138"/>
      <c r="BS170" s="52"/>
      <c r="BU170" s="138"/>
      <c r="BW170" s="52"/>
      <c r="BY170" s="138"/>
      <c r="CA170" s="52"/>
      <c r="CC170" s="138"/>
      <c r="CE170" s="52"/>
      <c r="CG170" s="138"/>
      <c r="CI170" s="52"/>
    </row>
    <row r="171" ht="22.5" customHeight="1">
      <c r="A171" s="147"/>
      <c r="B171" s="173" t="s">
        <v>168</v>
      </c>
      <c r="C171" s="174" t="s">
        <v>165</v>
      </c>
      <c r="D171" s="175" t="s">
        <v>164</v>
      </c>
      <c r="E171" s="140"/>
      <c r="F171" s="56"/>
      <c r="G171" s="57"/>
      <c r="I171" s="140"/>
      <c r="J171" s="56"/>
      <c r="K171" s="57"/>
      <c r="M171" s="140"/>
      <c r="N171" s="56"/>
      <c r="O171" s="57"/>
      <c r="Q171" s="140"/>
      <c r="R171" s="56"/>
      <c r="S171" s="57"/>
      <c r="U171" s="140"/>
      <c r="V171" s="56"/>
      <c r="W171" s="57"/>
      <c r="Y171" s="140"/>
      <c r="Z171" s="56"/>
      <c r="AA171" s="57"/>
      <c r="AC171" s="140"/>
      <c r="AD171" s="56"/>
      <c r="AE171" s="57"/>
      <c r="AG171" s="140"/>
      <c r="AH171" s="56"/>
      <c r="AI171" s="57"/>
      <c r="AK171" s="140"/>
      <c r="AL171" s="56"/>
      <c r="AM171" s="57"/>
      <c r="AO171" s="140"/>
      <c r="AP171" s="56"/>
      <c r="AQ171" s="57"/>
      <c r="AS171" s="140"/>
      <c r="AT171" s="56"/>
      <c r="AU171" s="57"/>
      <c r="AW171" s="140"/>
      <c r="AX171" s="56"/>
      <c r="AY171" s="57"/>
      <c r="BA171" s="140"/>
      <c r="BB171" s="56"/>
      <c r="BC171" s="57"/>
      <c r="BE171" s="140"/>
      <c r="BF171" s="56"/>
      <c r="BG171" s="57"/>
      <c r="BI171" s="140"/>
      <c r="BJ171" s="56"/>
      <c r="BK171" s="57"/>
      <c r="BM171" s="140"/>
      <c r="BN171" s="56"/>
      <c r="BO171" s="57"/>
      <c r="BQ171" s="140"/>
      <c r="BR171" s="56"/>
      <c r="BS171" s="57"/>
      <c r="BU171" s="140"/>
      <c r="BV171" s="56"/>
      <c r="BW171" s="57"/>
      <c r="BY171" s="140"/>
      <c r="BZ171" s="56"/>
      <c r="CA171" s="57"/>
      <c r="CC171" s="140"/>
      <c r="CD171" s="56"/>
      <c r="CE171" s="57"/>
      <c r="CG171" s="140"/>
      <c r="CH171" s="56"/>
      <c r="CI171" s="57"/>
    </row>
    <row r="172" ht="25.5" customHeight="1">
      <c r="A172" s="139"/>
      <c r="B172" s="153">
        <v>3.0</v>
      </c>
      <c r="C172" s="154" t="s">
        <v>169</v>
      </c>
      <c r="D172" s="155" t="s">
        <v>170</v>
      </c>
      <c r="E172" s="156" t="s">
        <v>171</v>
      </c>
      <c r="F172" s="38"/>
      <c r="G172" s="157"/>
      <c r="I172" s="156" t="s">
        <v>171</v>
      </c>
      <c r="J172" s="38"/>
      <c r="K172" s="157"/>
      <c r="M172" s="156" t="s">
        <v>171</v>
      </c>
      <c r="N172" s="38"/>
      <c r="O172" s="157"/>
      <c r="Q172" s="156" t="s">
        <v>171</v>
      </c>
      <c r="R172" s="38"/>
      <c r="S172" s="157"/>
      <c r="U172" s="156" t="s">
        <v>171</v>
      </c>
      <c r="V172" s="38"/>
      <c r="W172" s="157"/>
      <c r="Y172" s="156" t="s">
        <v>171</v>
      </c>
      <c r="Z172" s="38"/>
      <c r="AA172" s="157"/>
      <c r="AC172" s="156" t="s">
        <v>171</v>
      </c>
      <c r="AD172" s="38"/>
      <c r="AE172" s="157"/>
      <c r="AG172" s="156" t="s">
        <v>171</v>
      </c>
      <c r="AH172" s="38"/>
      <c r="AI172" s="157"/>
      <c r="AK172" s="156" t="s">
        <v>171</v>
      </c>
      <c r="AL172" s="38"/>
      <c r="AM172" s="157"/>
      <c r="AO172" s="156" t="s">
        <v>171</v>
      </c>
      <c r="AP172" s="38"/>
      <c r="AQ172" s="157"/>
      <c r="AS172" s="156" t="s">
        <v>171</v>
      </c>
      <c r="AT172" s="38"/>
      <c r="AU172" s="157"/>
      <c r="AW172" s="156" t="s">
        <v>171</v>
      </c>
      <c r="AX172" s="38"/>
      <c r="AY172" s="157"/>
      <c r="BA172" s="156" t="s">
        <v>171</v>
      </c>
      <c r="BB172" s="38"/>
      <c r="BC172" s="157"/>
      <c r="BE172" s="156" t="s">
        <v>171</v>
      </c>
      <c r="BF172" s="38"/>
      <c r="BG172" s="157"/>
      <c r="BI172" s="156" t="s">
        <v>171</v>
      </c>
      <c r="BJ172" s="38"/>
      <c r="BK172" s="157"/>
      <c r="BM172" s="156" t="s">
        <v>171</v>
      </c>
      <c r="BN172" s="38"/>
      <c r="BO172" s="157"/>
      <c r="BQ172" s="156" t="s">
        <v>171</v>
      </c>
      <c r="BR172" s="38"/>
      <c r="BS172" s="157"/>
      <c r="BU172" s="156" t="s">
        <v>171</v>
      </c>
      <c r="BV172" s="38"/>
      <c r="BW172" s="157"/>
      <c r="BY172" s="156" t="s">
        <v>171</v>
      </c>
      <c r="BZ172" s="38"/>
      <c r="CA172" s="157"/>
      <c r="CC172" s="156" t="s">
        <v>171</v>
      </c>
      <c r="CD172" s="38"/>
      <c r="CE172" s="157"/>
      <c r="CG172" s="156" t="s">
        <v>171</v>
      </c>
      <c r="CH172" s="38"/>
      <c r="CI172" s="157"/>
    </row>
    <row r="173" ht="8.25" customHeight="1">
      <c r="A173" s="166"/>
      <c r="E173" s="137"/>
      <c r="I173" s="137"/>
      <c r="M173" s="137"/>
      <c r="Q173" s="137"/>
      <c r="U173" s="137"/>
      <c r="Y173" s="137"/>
      <c r="AC173" s="137"/>
      <c r="AG173" s="137"/>
      <c r="AK173" s="137"/>
      <c r="AO173" s="137"/>
      <c r="AS173" s="137"/>
      <c r="AW173" s="137"/>
      <c r="BA173" s="137"/>
      <c r="BE173" s="137"/>
      <c r="BI173" s="137"/>
      <c r="BM173" s="137"/>
      <c r="BQ173" s="137"/>
      <c r="BU173" s="137"/>
      <c r="BY173" s="137"/>
      <c r="CC173" s="137"/>
      <c r="CG173" s="137"/>
    </row>
    <row r="174">
      <c r="A174" s="142" t="b">
        <v>0</v>
      </c>
      <c r="B174" s="165" t="s">
        <v>191</v>
      </c>
      <c r="C174" s="45"/>
      <c r="D174" s="172" t="s">
        <v>38</v>
      </c>
      <c r="E174" s="145" t="s">
        <v>167</v>
      </c>
      <c r="F174" s="146"/>
      <c r="G174" s="146"/>
      <c r="I174" s="145" t="s">
        <v>167</v>
      </c>
      <c r="J174" s="146"/>
      <c r="K174" s="146"/>
      <c r="M174" s="145" t="s">
        <v>167</v>
      </c>
      <c r="N174" s="146"/>
      <c r="O174" s="146"/>
      <c r="Q174" s="145" t="s">
        <v>167</v>
      </c>
      <c r="R174" s="146"/>
      <c r="S174" s="146"/>
      <c r="U174" s="145" t="s">
        <v>167</v>
      </c>
      <c r="V174" s="146"/>
      <c r="W174" s="146"/>
      <c r="Y174" s="145" t="s">
        <v>167</v>
      </c>
      <c r="Z174" s="146"/>
      <c r="AA174" s="146"/>
      <c r="AC174" s="145" t="s">
        <v>167</v>
      </c>
      <c r="AD174" s="146"/>
      <c r="AE174" s="146"/>
      <c r="AG174" s="145" t="s">
        <v>167</v>
      </c>
      <c r="AH174" s="146"/>
      <c r="AI174" s="146"/>
      <c r="AK174" s="145" t="s">
        <v>167</v>
      </c>
      <c r="AL174" s="146"/>
      <c r="AM174" s="146"/>
      <c r="AO174" s="145" t="s">
        <v>167</v>
      </c>
      <c r="AP174" s="146"/>
      <c r="AQ174" s="146"/>
      <c r="AS174" s="145" t="s">
        <v>167</v>
      </c>
      <c r="AT174" s="146"/>
      <c r="AU174" s="146"/>
      <c r="AW174" s="145" t="s">
        <v>167</v>
      </c>
      <c r="AX174" s="146"/>
      <c r="AY174" s="146"/>
      <c r="BA174" s="145" t="s">
        <v>167</v>
      </c>
      <c r="BB174" s="146"/>
      <c r="BC174" s="146"/>
      <c r="BE174" s="145" t="s">
        <v>167</v>
      </c>
      <c r="BF174" s="146"/>
      <c r="BG174" s="146"/>
      <c r="BI174" s="145" t="s">
        <v>167</v>
      </c>
      <c r="BJ174" s="146"/>
      <c r="BK174" s="146"/>
      <c r="BM174" s="145" t="s">
        <v>167</v>
      </c>
      <c r="BN174" s="146"/>
      <c r="BO174" s="146"/>
      <c r="BQ174" s="145" t="s">
        <v>167</v>
      </c>
      <c r="BR174" s="146"/>
      <c r="BS174" s="146"/>
      <c r="BU174" s="145" t="s">
        <v>167</v>
      </c>
      <c r="BV174" s="146"/>
      <c r="BW174" s="146"/>
      <c r="BY174" s="145" t="s">
        <v>167</v>
      </c>
      <c r="BZ174" s="146"/>
      <c r="CA174" s="146"/>
      <c r="CC174" s="145" t="s">
        <v>167</v>
      </c>
      <c r="CD174" s="146"/>
      <c r="CE174" s="146"/>
      <c r="CG174" s="145" t="s">
        <v>167</v>
      </c>
      <c r="CH174" s="146"/>
      <c r="CI174" s="146"/>
    </row>
    <row r="175">
      <c r="A175" s="147"/>
      <c r="B175" s="138"/>
      <c r="C175" s="52"/>
      <c r="D175" s="138"/>
      <c r="E175" s="139"/>
      <c r="F175" s="139"/>
      <c r="G175" s="139"/>
      <c r="I175" s="139"/>
      <c r="J175" s="139"/>
      <c r="K175" s="139"/>
      <c r="M175" s="139"/>
      <c r="N175" s="139"/>
      <c r="O175" s="139"/>
      <c r="Q175" s="139"/>
      <c r="R175" s="139"/>
      <c r="S175" s="139"/>
      <c r="U175" s="139"/>
      <c r="V175" s="139"/>
      <c r="W175" s="139"/>
      <c r="Y175" s="139"/>
      <c r="Z175" s="139"/>
      <c r="AA175" s="139"/>
      <c r="AC175" s="139"/>
      <c r="AD175" s="139"/>
      <c r="AE175" s="139"/>
      <c r="AG175" s="139"/>
      <c r="AH175" s="139"/>
      <c r="AI175" s="139"/>
      <c r="AK175" s="139"/>
      <c r="AL175" s="139"/>
      <c r="AM175" s="139"/>
      <c r="AO175" s="139"/>
      <c r="AP175" s="139"/>
      <c r="AQ175" s="139"/>
      <c r="AS175" s="139"/>
      <c r="AT175" s="139"/>
      <c r="AU175" s="139"/>
      <c r="AW175" s="139"/>
      <c r="AX175" s="139"/>
      <c r="AY175" s="139"/>
      <c r="BA175" s="139"/>
      <c r="BB175" s="139"/>
      <c r="BC175" s="139"/>
      <c r="BE175" s="139"/>
      <c r="BF175" s="139"/>
      <c r="BG175" s="139"/>
      <c r="BI175" s="139"/>
      <c r="BJ175" s="139"/>
      <c r="BK175" s="139"/>
      <c r="BM175" s="139"/>
      <c r="BN175" s="139"/>
      <c r="BO175" s="139"/>
      <c r="BQ175" s="139"/>
      <c r="BR175" s="139"/>
      <c r="BS175" s="139"/>
      <c r="BU175" s="139"/>
      <c r="BV175" s="139"/>
      <c r="BW175" s="139"/>
      <c r="BY175" s="139"/>
      <c r="BZ175" s="139"/>
      <c r="CA175" s="139"/>
      <c r="CC175" s="139"/>
      <c r="CD175" s="139"/>
      <c r="CE175" s="139"/>
      <c r="CG175" s="139"/>
      <c r="CH175" s="139"/>
      <c r="CI175" s="139"/>
    </row>
    <row r="176" ht="13.5" customHeight="1">
      <c r="A176" s="147"/>
      <c r="B176" s="138"/>
      <c r="C176" s="52"/>
      <c r="D176" s="138"/>
      <c r="E176" s="148"/>
      <c r="F176" s="149"/>
      <c r="G176" s="45"/>
      <c r="I176" s="148"/>
      <c r="J176" s="149"/>
      <c r="K176" s="45"/>
      <c r="M176" s="148"/>
      <c r="N176" s="149"/>
      <c r="O176" s="45"/>
      <c r="Q176" s="148"/>
      <c r="R176" s="149"/>
      <c r="S176" s="45"/>
      <c r="U176" s="148"/>
      <c r="V176" s="149"/>
      <c r="W176" s="45"/>
      <c r="Y176" s="148"/>
      <c r="Z176" s="149"/>
      <c r="AA176" s="45"/>
      <c r="AC176" s="148"/>
      <c r="AD176" s="149"/>
      <c r="AE176" s="45"/>
      <c r="AG176" s="148"/>
      <c r="AH176" s="149"/>
      <c r="AI176" s="45"/>
      <c r="AK176" s="148"/>
      <c r="AL176" s="149"/>
      <c r="AM176" s="45"/>
      <c r="AO176" s="148"/>
      <c r="AP176" s="149"/>
      <c r="AQ176" s="45"/>
      <c r="AS176" s="148"/>
      <c r="AT176" s="149"/>
      <c r="AU176" s="45"/>
      <c r="AW176" s="148"/>
      <c r="AX176" s="149"/>
      <c r="AY176" s="45"/>
      <c r="BA176" s="148"/>
      <c r="BB176" s="149"/>
      <c r="BC176" s="45"/>
      <c r="BE176" s="148"/>
      <c r="BF176" s="149"/>
      <c r="BG176" s="45"/>
      <c r="BI176" s="148"/>
      <c r="BJ176" s="149"/>
      <c r="BK176" s="45"/>
      <c r="BM176" s="148"/>
      <c r="BN176" s="149"/>
      <c r="BO176" s="45"/>
      <c r="BQ176" s="148"/>
      <c r="BR176" s="149"/>
      <c r="BS176" s="45"/>
      <c r="BU176" s="148"/>
      <c r="BV176" s="149"/>
      <c r="BW176" s="45"/>
      <c r="BY176" s="148"/>
      <c r="BZ176" s="149"/>
      <c r="CA176" s="45"/>
      <c r="CC176" s="148"/>
      <c r="CD176" s="149"/>
      <c r="CE176" s="45"/>
      <c r="CG176" s="148"/>
      <c r="CH176" s="149"/>
      <c r="CI176" s="45"/>
    </row>
    <row r="177" ht="13.5" customHeight="1">
      <c r="A177" s="147"/>
      <c r="B177" s="140"/>
      <c r="C177" s="57"/>
      <c r="D177" s="140"/>
      <c r="E177" s="138"/>
      <c r="G177" s="52"/>
      <c r="I177" s="138"/>
      <c r="K177" s="52"/>
      <c r="M177" s="138"/>
      <c r="O177" s="52"/>
      <c r="Q177" s="138"/>
      <c r="S177" s="52"/>
      <c r="U177" s="138"/>
      <c r="W177" s="52"/>
      <c r="Y177" s="138"/>
      <c r="AA177" s="52"/>
      <c r="AC177" s="138"/>
      <c r="AE177" s="52"/>
      <c r="AG177" s="138"/>
      <c r="AI177" s="52"/>
      <c r="AK177" s="138"/>
      <c r="AM177" s="52"/>
      <c r="AO177" s="138"/>
      <c r="AQ177" s="52"/>
      <c r="AS177" s="138"/>
      <c r="AU177" s="52"/>
      <c r="AW177" s="138"/>
      <c r="AY177" s="52"/>
      <c r="BA177" s="138"/>
      <c r="BC177" s="52"/>
      <c r="BE177" s="138"/>
      <c r="BG177" s="52"/>
      <c r="BI177" s="138"/>
      <c r="BK177" s="52"/>
      <c r="BM177" s="138"/>
      <c r="BO177" s="52"/>
      <c r="BQ177" s="138"/>
      <c r="BS177" s="52"/>
      <c r="BU177" s="138"/>
      <c r="BW177" s="52"/>
      <c r="BY177" s="138"/>
      <c r="CA177" s="52"/>
      <c r="CC177" s="138"/>
      <c r="CE177" s="52"/>
      <c r="CG177" s="138"/>
      <c r="CI177" s="52"/>
    </row>
    <row r="178" ht="27.75" customHeight="1">
      <c r="A178" s="147"/>
      <c r="B178" s="173" t="s">
        <v>168</v>
      </c>
      <c r="C178" s="174" t="s">
        <v>165</v>
      </c>
      <c r="D178" s="175" t="s">
        <v>164</v>
      </c>
      <c r="E178" s="140"/>
      <c r="F178" s="56"/>
      <c r="G178" s="57"/>
      <c r="I178" s="140"/>
      <c r="J178" s="56"/>
      <c r="K178" s="57"/>
      <c r="M178" s="140"/>
      <c r="N178" s="56"/>
      <c r="O178" s="57"/>
      <c r="Q178" s="140"/>
      <c r="R178" s="56"/>
      <c r="S178" s="57"/>
      <c r="U178" s="140"/>
      <c r="V178" s="56"/>
      <c r="W178" s="57"/>
      <c r="Y178" s="140"/>
      <c r="Z178" s="56"/>
      <c r="AA178" s="57"/>
      <c r="AC178" s="140"/>
      <c r="AD178" s="56"/>
      <c r="AE178" s="57"/>
      <c r="AG178" s="140"/>
      <c r="AH178" s="56"/>
      <c r="AI178" s="57"/>
      <c r="AK178" s="140"/>
      <c r="AL178" s="56"/>
      <c r="AM178" s="57"/>
      <c r="AO178" s="140"/>
      <c r="AP178" s="56"/>
      <c r="AQ178" s="57"/>
      <c r="AS178" s="140"/>
      <c r="AT178" s="56"/>
      <c r="AU178" s="57"/>
      <c r="AW178" s="140"/>
      <c r="AX178" s="56"/>
      <c r="AY178" s="57"/>
      <c r="BA178" s="140"/>
      <c r="BB178" s="56"/>
      <c r="BC178" s="57"/>
      <c r="BE178" s="140"/>
      <c r="BF178" s="56"/>
      <c r="BG178" s="57"/>
      <c r="BI178" s="140"/>
      <c r="BJ178" s="56"/>
      <c r="BK178" s="57"/>
      <c r="BM178" s="140"/>
      <c r="BN178" s="56"/>
      <c r="BO178" s="57"/>
      <c r="BQ178" s="140"/>
      <c r="BR178" s="56"/>
      <c r="BS178" s="57"/>
      <c r="BU178" s="140"/>
      <c r="BV178" s="56"/>
      <c r="BW178" s="57"/>
      <c r="BY178" s="140"/>
      <c r="BZ178" s="56"/>
      <c r="CA178" s="57"/>
      <c r="CC178" s="140"/>
      <c r="CD178" s="56"/>
      <c r="CE178" s="57"/>
      <c r="CG178" s="140"/>
      <c r="CH178" s="56"/>
      <c r="CI178" s="57"/>
    </row>
    <row r="179" ht="27.75" customHeight="1">
      <c r="A179" s="139"/>
      <c r="B179" s="153">
        <v>3.0</v>
      </c>
      <c r="C179" s="177">
        <v>46007.0</v>
      </c>
      <c r="D179" s="155" t="s">
        <v>174</v>
      </c>
      <c r="E179" s="156" t="s">
        <v>171</v>
      </c>
      <c r="F179" s="38"/>
      <c r="G179" s="157"/>
      <c r="I179" s="156" t="s">
        <v>171</v>
      </c>
      <c r="J179" s="38"/>
      <c r="K179" s="157"/>
      <c r="M179" s="156" t="s">
        <v>171</v>
      </c>
      <c r="N179" s="38"/>
      <c r="O179" s="157"/>
      <c r="Q179" s="156" t="s">
        <v>171</v>
      </c>
      <c r="R179" s="38"/>
      <c r="S179" s="157"/>
      <c r="U179" s="156" t="s">
        <v>171</v>
      </c>
      <c r="V179" s="38"/>
      <c r="W179" s="157"/>
      <c r="Y179" s="156" t="s">
        <v>171</v>
      </c>
      <c r="Z179" s="38"/>
      <c r="AA179" s="157"/>
      <c r="AC179" s="156" t="s">
        <v>171</v>
      </c>
      <c r="AD179" s="38"/>
      <c r="AE179" s="157"/>
      <c r="AG179" s="156" t="s">
        <v>171</v>
      </c>
      <c r="AH179" s="38"/>
      <c r="AI179" s="157"/>
      <c r="AK179" s="156" t="s">
        <v>171</v>
      </c>
      <c r="AL179" s="38"/>
      <c r="AM179" s="157"/>
      <c r="AO179" s="156" t="s">
        <v>171</v>
      </c>
      <c r="AP179" s="38"/>
      <c r="AQ179" s="157"/>
      <c r="AS179" s="156" t="s">
        <v>171</v>
      </c>
      <c r="AT179" s="38"/>
      <c r="AU179" s="157"/>
      <c r="AW179" s="156" t="s">
        <v>171</v>
      </c>
      <c r="AX179" s="38"/>
      <c r="AY179" s="157"/>
      <c r="BA179" s="156" t="s">
        <v>171</v>
      </c>
      <c r="BB179" s="38"/>
      <c r="BC179" s="157"/>
      <c r="BE179" s="156" t="s">
        <v>171</v>
      </c>
      <c r="BF179" s="38"/>
      <c r="BG179" s="157"/>
      <c r="BI179" s="156" t="s">
        <v>171</v>
      </c>
      <c r="BJ179" s="38"/>
      <c r="BK179" s="157"/>
      <c r="BM179" s="156" t="s">
        <v>171</v>
      </c>
      <c r="BN179" s="38"/>
      <c r="BO179" s="157"/>
      <c r="BQ179" s="156" t="s">
        <v>171</v>
      </c>
      <c r="BR179" s="38"/>
      <c r="BS179" s="157"/>
      <c r="BU179" s="156" t="s">
        <v>171</v>
      </c>
      <c r="BV179" s="38"/>
      <c r="BW179" s="157"/>
      <c r="BY179" s="156" t="s">
        <v>171</v>
      </c>
      <c r="BZ179" s="38"/>
      <c r="CA179" s="157"/>
      <c r="CC179" s="156" t="s">
        <v>171</v>
      </c>
      <c r="CD179" s="38"/>
      <c r="CE179" s="157"/>
      <c r="CG179" s="156" t="s">
        <v>171</v>
      </c>
      <c r="CH179" s="38"/>
      <c r="CI179" s="157"/>
    </row>
    <row r="180" ht="8.25" customHeight="1">
      <c r="A180" s="166"/>
      <c r="E180" s="137"/>
      <c r="I180" s="137"/>
      <c r="M180" s="137"/>
      <c r="Q180" s="137"/>
      <c r="U180" s="137"/>
      <c r="Y180" s="137"/>
      <c r="AC180" s="137"/>
      <c r="AG180" s="137"/>
      <c r="AK180" s="137"/>
      <c r="AO180" s="137"/>
      <c r="AS180" s="137"/>
      <c r="AW180" s="137"/>
      <c r="BA180" s="137"/>
      <c r="BE180" s="137"/>
      <c r="BI180" s="137"/>
      <c r="BM180" s="137"/>
      <c r="BQ180" s="137"/>
      <c r="BU180" s="137"/>
      <c r="BY180" s="137"/>
      <c r="CC180" s="137"/>
      <c r="CG180" s="137"/>
    </row>
    <row r="181">
      <c r="A181" s="142" t="b">
        <v>0</v>
      </c>
      <c r="B181" s="143" t="s">
        <v>204</v>
      </c>
      <c r="C181" s="45"/>
      <c r="D181" s="172" t="s">
        <v>38</v>
      </c>
      <c r="E181" s="145" t="s">
        <v>167</v>
      </c>
      <c r="F181" s="146"/>
      <c r="G181" s="146"/>
      <c r="I181" s="145" t="s">
        <v>167</v>
      </c>
      <c r="J181" s="146"/>
      <c r="K181" s="146"/>
      <c r="M181" s="145" t="s">
        <v>167</v>
      </c>
      <c r="N181" s="146"/>
      <c r="O181" s="146"/>
      <c r="Q181" s="145" t="s">
        <v>167</v>
      </c>
      <c r="R181" s="146"/>
      <c r="S181" s="146"/>
      <c r="U181" s="145" t="s">
        <v>167</v>
      </c>
      <c r="V181" s="146"/>
      <c r="W181" s="146"/>
      <c r="Y181" s="145" t="s">
        <v>167</v>
      </c>
      <c r="Z181" s="146"/>
      <c r="AA181" s="146"/>
      <c r="AC181" s="145" t="s">
        <v>167</v>
      </c>
      <c r="AD181" s="146"/>
      <c r="AE181" s="146"/>
      <c r="AG181" s="145" t="s">
        <v>167</v>
      </c>
      <c r="AH181" s="146"/>
      <c r="AI181" s="146"/>
      <c r="AK181" s="145" t="s">
        <v>167</v>
      </c>
      <c r="AL181" s="146"/>
      <c r="AM181" s="146"/>
      <c r="AO181" s="145" t="s">
        <v>167</v>
      </c>
      <c r="AP181" s="146"/>
      <c r="AQ181" s="146"/>
      <c r="AS181" s="145" t="s">
        <v>167</v>
      </c>
      <c r="AT181" s="146"/>
      <c r="AU181" s="146"/>
      <c r="AW181" s="145" t="s">
        <v>167</v>
      </c>
      <c r="AX181" s="146"/>
      <c r="AY181" s="146"/>
      <c r="BA181" s="145" t="s">
        <v>167</v>
      </c>
      <c r="BB181" s="146"/>
      <c r="BC181" s="146"/>
      <c r="BE181" s="145" t="s">
        <v>167</v>
      </c>
      <c r="BF181" s="146"/>
      <c r="BG181" s="146"/>
      <c r="BI181" s="145" t="s">
        <v>167</v>
      </c>
      <c r="BJ181" s="146"/>
      <c r="BK181" s="146"/>
      <c r="BM181" s="145" t="s">
        <v>167</v>
      </c>
      <c r="BN181" s="146"/>
      <c r="BO181" s="146"/>
      <c r="BQ181" s="145" t="s">
        <v>167</v>
      </c>
      <c r="BR181" s="146"/>
      <c r="BS181" s="146"/>
      <c r="BU181" s="145" t="s">
        <v>167</v>
      </c>
      <c r="BV181" s="146"/>
      <c r="BW181" s="146"/>
      <c r="BY181" s="145" t="s">
        <v>167</v>
      </c>
      <c r="BZ181" s="146"/>
      <c r="CA181" s="146"/>
      <c r="CC181" s="145" t="s">
        <v>167</v>
      </c>
      <c r="CD181" s="146"/>
      <c r="CE181" s="146"/>
      <c r="CG181" s="145" t="s">
        <v>167</v>
      </c>
      <c r="CH181" s="146"/>
      <c r="CI181" s="146"/>
    </row>
    <row r="182">
      <c r="A182" s="147"/>
      <c r="B182" s="138"/>
      <c r="C182" s="52"/>
      <c r="D182" s="138"/>
      <c r="E182" s="139"/>
      <c r="F182" s="139"/>
      <c r="G182" s="139"/>
      <c r="I182" s="139"/>
      <c r="J182" s="139"/>
      <c r="K182" s="139"/>
      <c r="M182" s="139"/>
      <c r="N182" s="139"/>
      <c r="O182" s="139"/>
      <c r="Q182" s="139"/>
      <c r="R182" s="139"/>
      <c r="S182" s="139"/>
      <c r="U182" s="139"/>
      <c r="V182" s="139"/>
      <c r="W182" s="139"/>
      <c r="Y182" s="139"/>
      <c r="Z182" s="139"/>
      <c r="AA182" s="139"/>
      <c r="AC182" s="139"/>
      <c r="AD182" s="139"/>
      <c r="AE182" s="139"/>
      <c r="AG182" s="139"/>
      <c r="AH182" s="139"/>
      <c r="AI182" s="139"/>
      <c r="AK182" s="139"/>
      <c r="AL182" s="139"/>
      <c r="AM182" s="139"/>
      <c r="AO182" s="139"/>
      <c r="AP182" s="139"/>
      <c r="AQ182" s="139"/>
      <c r="AS182" s="139"/>
      <c r="AT182" s="139"/>
      <c r="AU182" s="139"/>
      <c r="AW182" s="139"/>
      <c r="AX182" s="139"/>
      <c r="AY182" s="139"/>
      <c r="BA182" s="139"/>
      <c r="BB182" s="139"/>
      <c r="BC182" s="139"/>
      <c r="BE182" s="139"/>
      <c r="BF182" s="139"/>
      <c r="BG182" s="139"/>
      <c r="BI182" s="139"/>
      <c r="BJ182" s="139"/>
      <c r="BK182" s="139"/>
      <c r="BM182" s="139"/>
      <c r="BN182" s="139"/>
      <c r="BO182" s="139"/>
      <c r="BQ182" s="139"/>
      <c r="BR182" s="139"/>
      <c r="BS182" s="139"/>
      <c r="BU182" s="139"/>
      <c r="BV182" s="139"/>
      <c r="BW182" s="139"/>
      <c r="BY182" s="139"/>
      <c r="BZ182" s="139"/>
      <c r="CA182" s="139"/>
      <c r="CC182" s="139"/>
      <c r="CD182" s="139"/>
      <c r="CE182" s="139"/>
      <c r="CG182" s="139"/>
      <c r="CH182" s="139"/>
      <c r="CI182" s="139"/>
    </row>
    <row r="183" ht="15.75" customHeight="1">
      <c r="A183" s="147"/>
      <c r="B183" s="138"/>
      <c r="C183" s="52"/>
      <c r="D183" s="138"/>
      <c r="E183" s="148"/>
      <c r="F183" s="149"/>
      <c r="G183" s="45"/>
      <c r="I183" s="148"/>
      <c r="J183" s="149"/>
      <c r="K183" s="45"/>
      <c r="M183" s="148"/>
      <c r="N183" s="149"/>
      <c r="O183" s="45"/>
      <c r="Q183" s="148"/>
      <c r="R183" s="149"/>
      <c r="S183" s="45"/>
      <c r="U183" s="148"/>
      <c r="V183" s="149"/>
      <c r="W183" s="45"/>
      <c r="Y183" s="148"/>
      <c r="Z183" s="149"/>
      <c r="AA183" s="45"/>
      <c r="AC183" s="148"/>
      <c r="AD183" s="149"/>
      <c r="AE183" s="45"/>
      <c r="AG183" s="148"/>
      <c r="AH183" s="149"/>
      <c r="AI183" s="45"/>
      <c r="AK183" s="148"/>
      <c r="AL183" s="149"/>
      <c r="AM183" s="45"/>
      <c r="AO183" s="148"/>
      <c r="AP183" s="149"/>
      <c r="AQ183" s="45"/>
      <c r="AS183" s="148"/>
      <c r="AT183" s="149"/>
      <c r="AU183" s="45"/>
      <c r="AW183" s="148"/>
      <c r="AX183" s="149"/>
      <c r="AY183" s="45"/>
      <c r="BA183" s="148"/>
      <c r="BB183" s="149"/>
      <c r="BC183" s="45"/>
      <c r="BE183" s="148"/>
      <c r="BF183" s="149"/>
      <c r="BG183" s="45"/>
      <c r="BI183" s="148"/>
      <c r="BJ183" s="149"/>
      <c r="BK183" s="45"/>
      <c r="BM183" s="148"/>
      <c r="BN183" s="149"/>
      <c r="BO183" s="45"/>
      <c r="BQ183" s="148"/>
      <c r="BR183" s="149"/>
      <c r="BS183" s="45"/>
      <c r="BU183" s="148"/>
      <c r="BV183" s="149"/>
      <c r="BW183" s="45"/>
      <c r="BY183" s="148"/>
      <c r="BZ183" s="149"/>
      <c r="CA183" s="45"/>
      <c r="CC183" s="148"/>
      <c r="CD183" s="149"/>
      <c r="CE183" s="45"/>
      <c r="CG183" s="148"/>
      <c r="CH183" s="149"/>
      <c r="CI183" s="45"/>
    </row>
    <row r="184" ht="15.75" customHeight="1">
      <c r="A184" s="147"/>
      <c r="B184" s="140"/>
      <c r="C184" s="57"/>
      <c r="D184" s="140"/>
      <c r="E184" s="138"/>
      <c r="G184" s="52"/>
      <c r="I184" s="138"/>
      <c r="K184" s="52"/>
      <c r="M184" s="138"/>
      <c r="O184" s="52"/>
      <c r="Q184" s="138"/>
      <c r="S184" s="52"/>
      <c r="U184" s="138"/>
      <c r="W184" s="52"/>
      <c r="Y184" s="138"/>
      <c r="AA184" s="52"/>
      <c r="AC184" s="138"/>
      <c r="AE184" s="52"/>
      <c r="AG184" s="138"/>
      <c r="AI184" s="52"/>
      <c r="AK184" s="138"/>
      <c r="AM184" s="52"/>
      <c r="AO184" s="138"/>
      <c r="AQ184" s="52"/>
      <c r="AS184" s="138"/>
      <c r="AU184" s="52"/>
      <c r="AW184" s="138"/>
      <c r="AY184" s="52"/>
      <c r="BA184" s="138"/>
      <c r="BC184" s="52"/>
      <c r="BE184" s="138"/>
      <c r="BG184" s="52"/>
      <c r="BI184" s="138"/>
      <c r="BK184" s="52"/>
      <c r="BM184" s="138"/>
      <c r="BO184" s="52"/>
      <c r="BQ184" s="138"/>
      <c r="BS184" s="52"/>
      <c r="BU184" s="138"/>
      <c r="BW184" s="52"/>
      <c r="BY184" s="138"/>
      <c r="CA184" s="52"/>
      <c r="CC184" s="138"/>
      <c r="CE184" s="52"/>
      <c r="CG184" s="138"/>
      <c r="CI184" s="52"/>
    </row>
    <row r="185" ht="23.25" customHeight="1">
      <c r="A185" s="147"/>
      <c r="B185" s="173" t="s">
        <v>168</v>
      </c>
      <c r="C185" s="174" t="s">
        <v>165</v>
      </c>
      <c r="D185" s="175" t="s">
        <v>164</v>
      </c>
      <c r="E185" s="140"/>
      <c r="F185" s="56"/>
      <c r="G185" s="57"/>
      <c r="I185" s="140"/>
      <c r="J185" s="56"/>
      <c r="K185" s="57"/>
      <c r="M185" s="140"/>
      <c r="N185" s="56"/>
      <c r="O185" s="57"/>
      <c r="Q185" s="140"/>
      <c r="R185" s="56"/>
      <c r="S185" s="57"/>
      <c r="U185" s="140"/>
      <c r="V185" s="56"/>
      <c r="W185" s="57"/>
      <c r="Y185" s="140"/>
      <c r="Z185" s="56"/>
      <c r="AA185" s="57"/>
      <c r="AC185" s="140"/>
      <c r="AD185" s="56"/>
      <c r="AE185" s="57"/>
      <c r="AG185" s="140"/>
      <c r="AH185" s="56"/>
      <c r="AI185" s="57"/>
      <c r="AK185" s="140"/>
      <c r="AL185" s="56"/>
      <c r="AM185" s="57"/>
      <c r="AO185" s="140"/>
      <c r="AP185" s="56"/>
      <c r="AQ185" s="57"/>
      <c r="AS185" s="140"/>
      <c r="AT185" s="56"/>
      <c r="AU185" s="57"/>
      <c r="AW185" s="140"/>
      <c r="AX185" s="56"/>
      <c r="AY185" s="57"/>
      <c r="BA185" s="140"/>
      <c r="BB185" s="56"/>
      <c r="BC185" s="57"/>
      <c r="BE185" s="140"/>
      <c r="BF185" s="56"/>
      <c r="BG185" s="57"/>
      <c r="BI185" s="140"/>
      <c r="BJ185" s="56"/>
      <c r="BK185" s="57"/>
      <c r="BM185" s="140"/>
      <c r="BN185" s="56"/>
      <c r="BO185" s="57"/>
      <c r="BQ185" s="140"/>
      <c r="BR185" s="56"/>
      <c r="BS185" s="57"/>
      <c r="BU185" s="140"/>
      <c r="BV185" s="56"/>
      <c r="BW185" s="57"/>
      <c r="BY185" s="140"/>
      <c r="BZ185" s="56"/>
      <c r="CA185" s="57"/>
      <c r="CC185" s="140"/>
      <c r="CD185" s="56"/>
      <c r="CE185" s="57"/>
      <c r="CG185" s="140"/>
      <c r="CH185" s="56"/>
      <c r="CI185" s="57"/>
    </row>
    <row r="186" ht="24.0" customHeight="1">
      <c r="A186" s="139"/>
      <c r="B186" s="153">
        <v>3.0</v>
      </c>
      <c r="C186" s="154" t="s">
        <v>169</v>
      </c>
      <c r="D186" s="155" t="s">
        <v>205</v>
      </c>
      <c r="E186" s="156" t="s">
        <v>171</v>
      </c>
      <c r="F186" s="38"/>
      <c r="G186" s="157"/>
      <c r="I186" s="156" t="s">
        <v>171</v>
      </c>
      <c r="J186" s="38"/>
      <c r="K186" s="157"/>
      <c r="M186" s="156" t="s">
        <v>171</v>
      </c>
      <c r="N186" s="38"/>
      <c r="O186" s="157"/>
      <c r="Q186" s="156" t="s">
        <v>171</v>
      </c>
      <c r="R186" s="38"/>
      <c r="S186" s="157"/>
      <c r="U186" s="156" t="s">
        <v>171</v>
      </c>
      <c r="V186" s="38"/>
      <c r="W186" s="157"/>
      <c r="Y186" s="156" t="s">
        <v>171</v>
      </c>
      <c r="Z186" s="38"/>
      <c r="AA186" s="157"/>
      <c r="AC186" s="156" t="s">
        <v>171</v>
      </c>
      <c r="AD186" s="38"/>
      <c r="AE186" s="157"/>
      <c r="AG186" s="156" t="s">
        <v>171</v>
      </c>
      <c r="AH186" s="38"/>
      <c r="AI186" s="157"/>
      <c r="AK186" s="156" t="s">
        <v>171</v>
      </c>
      <c r="AL186" s="38"/>
      <c r="AM186" s="157"/>
      <c r="AO186" s="156" t="s">
        <v>171</v>
      </c>
      <c r="AP186" s="38"/>
      <c r="AQ186" s="157"/>
      <c r="AS186" s="156" t="s">
        <v>171</v>
      </c>
      <c r="AT186" s="38"/>
      <c r="AU186" s="157"/>
      <c r="AW186" s="156" t="s">
        <v>171</v>
      </c>
      <c r="AX186" s="38"/>
      <c r="AY186" s="157"/>
      <c r="BA186" s="156" t="s">
        <v>171</v>
      </c>
      <c r="BB186" s="38"/>
      <c r="BC186" s="157"/>
      <c r="BE186" s="156" t="s">
        <v>171</v>
      </c>
      <c r="BF186" s="38"/>
      <c r="BG186" s="157"/>
      <c r="BI186" s="156" t="s">
        <v>171</v>
      </c>
      <c r="BJ186" s="38"/>
      <c r="BK186" s="157"/>
      <c r="BM186" s="156" t="s">
        <v>171</v>
      </c>
      <c r="BN186" s="38"/>
      <c r="BO186" s="157"/>
      <c r="BQ186" s="156" t="s">
        <v>171</v>
      </c>
      <c r="BR186" s="38"/>
      <c r="BS186" s="157"/>
      <c r="BU186" s="156" t="s">
        <v>171</v>
      </c>
      <c r="BV186" s="38"/>
      <c r="BW186" s="157"/>
      <c r="BY186" s="156" t="s">
        <v>171</v>
      </c>
      <c r="BZ186" s="38"/>
      <c r="CA186" s="157"/>
      <c r="CC186" s="156" t="s">
        <v>171</v>
      </c>
      <c r="CD186" s="38"/>
      <c r="CE186" s="157"/>
      <c r="CG186" s="156" t="s">
        <v>171</v>
      </c>
      <c r="CH186" s="38"/>
      <c r="CI186" s="157"/>
    </row>
    <row r="187" ht="8.25" customHeight="1">
      <c r="A187" s="166"/>
      <c r="E187" s="137"/>
      <c r="I187" s="137"/>
      <c r="M187" s="137"/>
      <c r="Q187" s="137"/>
      <c r="U187" s="137"/>
      <c r="Y187" s="137"/>
      <c r="AC187" s="137"/>
      <c r="AG187" s="137"/>
      <c r="AK187" s="137"/>
      <c r="AO187" s="137"/>
      <c r="AS187" s="137"/>
      <c r="AW187" s="137"/>
      <c r="BA187" s="137"/>
      <c r="BE187" s="137"/>
      <c r="BI187" s="137"/>
      <c r="BM187" s="137"/>
      <c r="BQ187" s="137"/>
      <c r="BU187" s="137"/>
      <c r="BY187" s="137"/>
      <c r="CC187" s="137"/>
      <c r="CG187" s="137"/>
    </row>
    <row r="188">
      <c r="A188" s="142" t="b">
        <v>0</v>
      </c>
      <c r="B188" s="160" t="s">
        <v>206</v>
      </c>
      <c r="C188" s="45"/>
      <c r="D188" s="172" t="s">
        <v>38</v>
      </c>
      <c r="E188" s="145" t="s">
        <v>167</v>
      </c>
      <c r="F188" s="146"/>
      <c r="G188" s="146"/>
      <c r="I188" s="145" t="s">
        <v>167</v>
      </c>
      <c r="J188" s="146"/>
      <c r="K188" s="146"/>
      <c r="M188" s="145" t="s">
        <v>167</v>
      </c>
      <c r="N188" s="146"/>
      <c r="O188" s="146"/>
      <c r="Q188" s="145" t="s">
        <v>167</v>
      </c>
      <c r="R188" s="146"/>
      <c r="S188" s="146"/>
      <c r="U188" s="145" t="s">
        <v>167</v>
      </c>
      <c r="V188" s="146"/>
      <c r="W188" s="146"/>
      <c r="Y188" s="145" t="s">
        <v>167</v>
      </c>
      <c r="Z188" s="146"/>
      <c r="AA188" s="146"/>
      <c r="AC188" s="145" t="s">
        <v>167</v>
      </c>
      <c r="AD188" s="146"/>
      <c r="AE188" s="146"/>
      <c r="AG188" s="145" t="s">
        <v>167</v>
      </c>
      <c r="AH188" s="146"/>
      <c r="AI188" s="146"/>
      <c r="AK188" s="145" t="s">
        <v>167</v>
      </c>
      <c r="AL188" s="146"/>
      <c r="AM188" s="146"/>
      <c r="AO188" s="145" t="s">
        <v>167</v>
      </c>
      <c r="AP188" s="146"/>
      <c r="AQ188" s="146"/>
      <c r="AS188" s="145" t="s">
        <v>167</v>
      </c>
      <c r="AT188" s="146"/>
      <c r="AU188" s="146"/>
      <c r="AW188" s="145" t="s">
        <v>167</v>
      </c>
      <c r="AX188" s="146"/>
      <c r="AY188" s="146"/>
      <c r="BA188" s="145" t="s">
        <v>167</v>
      </c>
      <c r="BB188" s="146"/>
      <c r="BC188" s="146"/>
      <c r="BE188" s="145" t="s">
        <v>167</v>
      </c>
      <c r="BF188" s="146"/>
      <c r="BG188" s="146"/>
      <c r="BI188" s="145" t="s">
        <v>167</v>
      </c>
      <c r="BJ188" s="146"/>
      <c r="BK188" s="146"/>
      <c r="BM188" s="145" t="s">
        <v>167</v>
      </c>
      <c r="BN188" s="146"/>
      <c r="BO188" s="146"/>
      <c r="BQ188" s="145" t="s">
        <v>167</v>
      </c>
      <c r="BR188" s="146"/>
      <c r="BS188" s="146"/>
      <c r="BU188" s="145" t="s">
        <v>167</v>
      </c>
      <c r="BV188" s="146"/>
      <c r="BW188" s="146"/>
      <c r="BY188" s="145" t="s">
        <v>167</v>
      </c>
      <c r="BZ188" s="146"/>
      <c r="CA188" s="146"/>
      <c r="CC188" s="145" t="s">
        <v>167</v>
      </c>
      <c r="CD188" s="146"/>
      <c r="CE188" s="146"/>
      <c r="CG188" s="145" t="s">
        <v>167</v>
      </c>
      <c r="CH188" s="146"/>
      <c r="CI188" s="146"/>
    </row>
    <row r="189">
      <c r="A189" s="147"/>
      <c r="B189" s="138"/>
      <c r="C189" s="52"/>
      <c r="D189" s="138"/>
      <c r="E189" s="139"/>
      <c r="F189" s="139"/>
      <c r="G189" s="139"/>
      <c r="I189" s="139"/>
      <c r="J189" s="139"/>
      <c r="K189" s="139"/>
      <c r="M189" s="139"/>
      <c r="N189" s="139"/>
      <c r="O189" s="139"/>
      <c r="Q189" s="139"/>
      <c r="R189" s="139"/>
      <c r="S189" s="139"/>
      <c r="U189" s="139"/>
      <c r="V189" s="139"/>
      <c r="W189" s="139"/>
      <c r="Y189" s="139"/>
      <c r="Z189" s="139"/>
      <c r="AA189" s="139"/>
      <c r="AC189" s="139"/>
      <c r="AD189" s="139"/>
      <c r="AE189" s="139"/>
      <c r="AG189" s="139"/>
      <c r="AH189" s="139"/>
      <c r="AI189" s="139"/>
      <c r="AK189" s="139"/>
      <c r="AL189" s="139"/>
      <c r="AM189" s="139"/>
      <c r="AO189" s="139"/>
      <c r="AP189" s="139"/>
      <c r="AQ189" s="139"/>
      <c r="AS189" s="139"/>
      <c r="AT189" s="139"/>
      <c r="AU189" s="139"/>
      <c r="AW189" s="139"/>
      <c r="AX189" s="139"/>
      <c r="AY189" s="139"/>
      <c r="BA189" s="139"/>
      <c r="BB189" s="139"/>
      <c r="BC189" s="139"/>
      <c r="BE189" s="139"/>
      <c r="BF189" s="139"/>
      <c r="BG189" s="139"/>
      <c r="BI189" s="139"/>
      <c r="BJ189" s="139"/>
      <c r="BK189" s="139"/>
      <c r="BM189" s="139"/>
      <c r="BN189" s="139"/>
      <c r="BO189" s="139"/>
      <c r="BQ189" s="139"/>
      <c r="BR189" s="139"/>
      <c r="BS189" s="139"/>
      <c r="BU189" s="139"/>
      <c r="BV189" s="139"/>
      <c r="BW189" s="139"/>
      <c r="BY189" s="139"/>
      <c r="BZ189" s="139"/>
      <c r="CA189" s="139"/>
      <c r="CC189" s="139"/>
      <c r="CD189" s="139"/>
      <c r="CE189" s="139"/>
      <c r="CG189" s="139"/>
      <c r="CH189" s="139"/>
      <c r="CI189" s="139"/>
    </row>
    <row r="190" ht="15.0" customHeight="1">
      <c r="A190" s="147"/>
      <c r="B190" s="138"/>
      <c r="C190" s="52"/>
      <c r="D190" s="138"/>
      <c r="E190" s="148"/>
      <c r="F190" s="149"/>
      <c r="G190" s="45"/>
      <c r="I190" s="148"/>
      <c r="J190" s="149"/>
      <c r="K190" s="45"/>
      <c r="M190" s="148"/>
      <c r="N190" s="149"/>
      <c r="O190" s="45"/>
      <c r="Q190" s="148"/>
      <c r="R190" s="149"/>
      <c r="S190" s="45"/>
      <c r="U190" s="148"/>
      <c r="V190" s="149"/>
      <c r="W190" s="45"/>
      <c r="Y190" s="148"/>
      <c r="Z190" s="149"/>
      <c r="AA190" s="45"/>
      <c r="AC190" s="148"/>
      <c r="AD190" s="149"/>
      <c r="AE190" s="45"/>
      <c r="AG190" s="148"/>
      <c r="AH190" s="149"/>
      <c r="AI190" s="45"/>
      <c r="AK190" s="148"/>
      <c r="AL190" s="149"/>
      <c r="AM190" s="45"/>
      <c r="AO190" s="148"/>
      <c r="AP190" s="149"/>
      <c r="AQ190" s="45"/>
      <c r="AS190" s="148"/>
      <c r="AT190" s="149"/>
      <c r="AU190" s="45"/>
      <c r="AW190" s="148"/>
      <c r="AX190" s="149"/>
      <c r="AY190" s="45"/>
      <c r="BA190" s="148"/>
      <c r="BB190" s="149"/>
      <c r="BC190" s="45"/>
      <c r="BE190" s="148"/>
      <c r="BF190" s="149"/>
      <c r="BG190" s="45"/>
      <c r="BI190" s="148"/>
      <c r="BJ190" s="149"/>
      <c r="BK190" s="45"/>
      <c r="BM190" s="148"/>
      <c r="BN190" s="149"/>
      <c r="BO190" s="45"/>
      <c r="BQ190" s="148"/>
      <c r="BR190" s="149"/>
      <c r="BS190" s="45"/>
      <c r="BU190" s="148"/>
      <c r="BV190" s="149"/>
      <c r="BW190" s="45"/>
      <c r="BY190" s="148"/>
      <c r="BZ190" s="149"/>
      <c r="CA190" s="45"/>
      <c r="CC190" s="148"/>
      <c r="CD190" s="149"/>
      <c r="CE190" s="45"/>
      <c r="CG190" s="148"/>
      <c r="CH190" s="149"/>
      <c r="CI190" s="45"/>
    </row>
    <row r="191" ht="15.0" customHeight="1">
      <c r="A191" s="147"/>
      <c r="B191" s="140"/>
      <c r="C191" s="57"/>
      <c r="D191" s="140"/>
      <c r="E191" s="138"/>
      <c r="G191" s="52"/>
      <c r="I191" s="138"/>
      <c r="K191" s="52"/>
      <c r="M191" s="138"/>
      <c r="O191" s="52"/>
      <c r="Q191" s="138"/>
      <c r="S191" s="52"/>
      <c r="U191" s="138"/>
      <c r="W191" s="52"/>
      <c r="Y191" s="138"/>
      <c r="AA191" s="52"/>
      <c r="AC191" s="138"/>
      <c r="AE191" s="52"/>
      <c r="AG191" s="138"/>
      <c r="AI191" s="52"/>
      <c r="AK191" s="138"/>
      <c r="AM191" s="52"/>
      <c r="AO191" s="138"/>
      <c r="AQ191" s="52"/>
      <c r="AS191" s="138"/>
      <c r="AU191" s="52"/>
      <c r="AW191" s="138"/>
      <c r="AY191" s="52"/>
      <c r="BA191" s="138"/>
      <c r="BC191" s="52"/>
      <c r="BE191" s="138"/>
      <c r="BG191" s="52"/>
      <c r="BI191" s="138"/>
      <c r="BK191" s="52"/>
      <c r="BM191" s="138"/>
      <c r="BO191" s="52"/>
      <c r="BQ191" s="138"/>
      <c r="BS191" s="52"/>
      <c r="BU191" s="138"/>
      <c r="BW191" s="52"/>
      <c r="BY191" s="138"/>
      <c r="CA191" s="52"/>
      <c r="CC191" s="138"/>
      <c r="CE191" s="52"/>
      <c r="CG191" s="138"/>
      <c r="CI191" s="52"/>
    </row>
    <row r="192" ht="21.75" customHeight="1">
      <c r="A192" s="147"/>
      <c r="B192" s="173" t="s">
        <v>168</v>
      </c>
      <c r="C192" s="174" t="s">
        <v>165</v>
      </c>
      <c r="D192" s="175" t="s">
        <v>164</v>
      </c>
      <c r="E192" s="140"/>
      <c r="F192" s="56"/>
      <c r="G192" s="57"/>
      <c r="I192" s="140"/>
      <c r="J192" s="56"/>
      <c r="K192" s="57"/>
      <c r="M192" s="140"/>
      <c r="N192" s="56"/>
      <c r="O192" s="57"/>
      <c r="Q192" s="140"/>
      <c r="R192" s="56"/>
      <c r="S192" s="57"/>
      <c r="U192" s="140"/>
      <c r="V192" s="56"/>
      <c r="W192" s="57"/>
      <c r="Y192" s="140"/>
      <c r="Z192" s="56"/>
      <c r="AA192" s="57"/>
      <c r="AC192" s="140"/>
      <c r="AD192" s="56"/>
      <c r="AE192" s="57"/>
      <c r="AG192" s="140"/>
      <c r="AH192" s="56"/>
      <c r="AI192" s="57"/>
      <c r="AK192" s="140"/>
      <c r="AL192" s="56"/>
      <c r="AM192" s="57"/>
      <c r="AO192" s="140"/>
      <c r="AP192" s="56"/>
      <c r="AQ192" s="57"/>
      <c r="AS192" s="140"/>
      <c r="AT192" s="56"/>
      <c r="AU192" s="57"/>
      <c r="AW192" s="140"/>
      <c r="AX192" s="56"/>
      <c r="AY192" s="57"/>
      <c r="BA192" s="140"/>
      <c r="BB192" s="56"/>
      <c r="BC192" s="57"/>
      <c r="BE192" s="140"/>
      <c r="BF192" s="56"/>
      <c r="BG192" s="57"/>
      <c r="BI192" s="140"/>
      <c r="BJ192" s="56"/>
      <c r="BK192" s="57"/>
      <c r="BM192" s="140"/>
      <c r="BN192" s="56"/>
      <c r="BO192" s="57"/>
      <c r="BQ192" s="140"/>
      <c r="BR192" s="56"/>
      <c r="BS192" s="57"/>
      <c r="BU192" s="140"/>
      <c r="BV192" s="56"/>
      <c r="BW192" s="57"/>
      <c r="BY192" s="140"/>
      <c r="BZ192" s="56"/>
      <c r="CA192" s="57"/>
      <c r="CC192" s="140"/>
      <c r="CD192" s="56"/>
      <c r="CE192" s="57"/>
      <c r="CG192" s="140"/>
      <c r="CH192" s="56"/>
      <c r="CI192" s="57"/>
    </row>
    <row r="193" ht="24.0" customHeight="1">
      <c r="A193" s="139"/>
      <c r="B193" s="153">
        <v>2.0</v>
      </c>
      <c r="C193" s="153" t="s">
        <v>207</v>
      </c>
      <c r="D193" s="155" t="s">
        <v>174</v>
      </c>
      <c r="E193" s="156" t="s">
        <v>171</v>
      </c>
      <c r="F193" s="38"/>
      <c r="G193" s="157"/>
      <c r="I193" s="156" t="s">
        <v>171</v>
      </c>
      <c r="J193" s="38"/>
      <c r="K193" s="157"/>
      <c r="M193" s="156" t="s">
        <v>171</v>
      </c>
      <c r="N193" s="38"/>
      <c r="O193" s="157"/>
      <c r="Q193" s="156" t="s">
        <v>171</v>
      </c>
      <c r="R193" s="38"/>
      <c r="S193" s="157"/>
      <c r="U193" s="156" t="s">
        <v>171</v>
      </c>
      <c r="V193" s="38"/>
      <c r="W193" s="157"/>
      <c r="Y193" s="156" t="s">
        <v>171</v>
      </c>
      <c r="Z193" s="38"/>
      <c r="AA193" s="157"/>
      <c r="AC193" s="156" t="s">
        <v>171</v>
      </c>
      <c r="AD193" s="38"/>
      <c r="AE193" s="157"/>
      <c r="AG193" s="156" t="s">
        <v>171</v>
      </c>
      <c r="AH193" s="38"/>
      <c r="AI193" s="157"/>
      <c r="AK193" s="156" t="s">
        <v>171</v>
      </c>
      <c r="AL193" s="38"/>
      <c r="AM193" s="157"/>
      <c r="AO193" s="156" t="s">
        <v>171</v>
      </c>
      <c r="AP193" s="38"/>
      <c r="AQ193" s="157"/>
      <c r="AS193" s="156" t="s">
        <v>171</v>
      </c>
      <c r="AT193" s="38"/>
      <c r="AU193" s="157"/>
      <c r="AW193" s="156" t="s">
        <v>171</v>
      </c>
      <c r="AX193" s="38"/>
      <c r="AY193" s="157"/>
      <c r="BA193" s="156" t="s">
        <v>171</v>
      </c>
      <c r="BB193" s="38"/>
      <c r="BC193" s="157"/>
      <c r="BE193" s="156" t="s">
        <v>171</v>
      </c>
      <c r="BF193" s="38"/>
      <c r="BG193" s="157"/>
      <c r="BI193" s="156" t="s">
        <v>171</v>
      </c>
      <c r="BJ193" s="38"/>
      <c r="BK193" s="157"/>
      <c r="BM193" s="156" t="s">
        <v>171</v>
      </c>
      <c r="BN193" s="38"/>
      <c r="BO193" s="157"/>
      <c r="BQ193" s="156" t="s">
        <v>171</v>
      </c>
      <c r="BR193" s="38"/>
      <c r="BS193" s="157"/>
      <c r="BU193" s="156" t="s">
        <v>171</v>
      </c>
      <c r="BV193" s="38"/>
      <c r="BW193" s="157"/>
      <c r="BY193" s="156" t="s">
        <v>171</v>
      </c>
      <c r="BZ193" s="38"/>
      <c r="CA193" s="157"/>
      <c r="CC193" s="156" t="s">
        <v>171</v>
      </c>
      <c r="CD193" s="38"/>
      <c r="CE193" s="157"/>
      <c r="CG193" s="156" t="s">
        <v>171</v>
      </c>
      <c r="CH193" s="38"/>
      <c r="CI193" s="157"/>
    </row>
    <row r="194" ht="7.5" customHeight="1">
      <c r="A194" s="166"/>
      <c r="E194" s="137"/>
      <c r="I194" s="137"/>
      <c r="M194" s="137"/>
      <c r="Q194" s="137"/>
      <c r="U194" s="137"/>
      <c r="Y194" s="137"/>
      <c r="AC194" s="137"/>
      <c r="AG194" s="137"/>
      <c r="AK194" s="137"/>
      <c r="AO194" s="137"/>
      <c r="AS194" s="137"/>
      <c r="AW194" s="137"/>
      <c r="BA194" s="137"/>
      <c r="BE194" s="137"/>
      <c r="BI194" s="137"/>
      <c r="BM194" s="137"/>
      <c r="BQ194" s="137"/>
      <c r="BU194" s="137"/>
      <c r="BY194" s="137"/>
      <c r="CC194" s="137"/>
      <c r="CG194" s="137"/>
    </row>
    <row r="195">
      <c r="A195" s="142" t="b">
        <v>0</v>
      </c>
      <c r="B195" s="165" t="s">
        <v>208</v>
      </c>
      <c r="C195" s="45"/>
      <c r="D195" s="172" t="s">
        <v>38</v>
      </c>
      <c r="E195" s="145" t="s">
        <v>167</v>
      </c>
      <c r="F195" s="146"/>
      <c r="G195" s="146"/>
      <c r="I195" s="145" t="s">
        <v>167</v>
      </c>
      <c r="J195" s="146"/>
      <c r="K195" s="146"/>
      <c r="M195" s="145" t="s">
        <v>167</v>
      </c>
      <c r="N195" s="146"/>
      <c r="O195" s="146"/>
      <c r="Q195" s="145" t="s">
        <v>167</v>
      </c>
      <c r="R195" s="146"/>
      <c r="S195" s="146"/>
      <c r="U195" s="145" t="s">
        <v>167</v>
      </c>
      <c r="V195" s="146"/>
      <c r="W195" s="146"/>
      <c r="Y195" s="145" t="s">
        <v>167</v>
      </c>
      <c r="Z195" s="146"/>
      <c r="AA195" s="146"/>
      <c r="AC195" s="145" t="s">
        <v>167</v>
      </c>
      <c r="AD195" s="146"/>
      <c r="AE195" s="146"/>
      <c r="AG195" s="145" t="s">
        <v>167</v>
      </c>
      <c r="AH195" s="146"/>
      <c r="AI195" s="146"/>
      <c r="AK195" s="145" t="s">
        <v>167</v>
      </c>
      <c r="AL195" s="146"/>
      <c r="AM195" s="146"/>
      <c r="AO195" s="145" t="s">
        <v>167</v>
      </c>
      <c r="AP195" s="146"/>
      <c r="AQ195" s="146"/>
      <c r="AS195" s="145" t="s">
        <v>167</v>
      </c>
      <c r="AT195" s="146"/>
      <c r="AU195" s="146"/>
      <c r="AW195" s="145" t="s">
        <v>167</v>
      </c>
      <c r="AX195" s="146"/>
      <c r="AY195" s="146"/>
      <c r="BA195" s="145" t="s">
        <v>167</v>
      </c>
      <c r="BB195" s="146"/>
      <c r="BC195" s="146"/>
      <c r="BE195" s="145" t="s">
        <v>167</v>
      </c>
      <c r="BF195" s="146"/>
      <c r="BG195" s="146"/>
      <c r="BI195" s="145" t="s">
        <v>167</v>
      </c>
      <c r="BJ195" s="146"/>
      <c r="BK195" s="146"/>
      <c r="BM195" s="145" t="s">
        <v>167</v>
      </c>
      <c r="BN195" s="146"/>
      <c r="BO195" s="146"/>
      <c r="BQ195" s="145" t="s">
        <v>167</v>
      </c>
      <c r="BR195" s="146"/>
      <c r="BS195" s="146"/>
      <c r="BU195" s="145" t="s">
        <v>167</v>
      </c>
      <c r="BV195" s="146"/>
      <c r="BW195" s="146"/>
      <c r="BY195" s="145" t="s">
        <v>167</v>
      </c>
      <c r="BZ195" s="146"/>
      <c r="CA195" s="146"/>
      <c r="CC195" s="145" t="s">
        <v>167</v>
      </c>
      <c r="CD195" s="146"/>
      <c r="CE195" s="146"/>
      <c r="CG195" s="145" t="s">
        <v>167</v>
      </c>
      <c r="CH195" s="146"/>
      <c r="CI195" s="146"/>
    </row>
    <row r="196">
      <c r="A196" s="147"/>
      <c r="B196" s="138"/>
      <c r="C196" s="52"/>
      <c r="D196" s="138"/>
      <c r="E196" s="139"/>
      <c r="F196" s="139"/>
      <c r="G196" s="139"/>
      <c r="I196" s="139"/>
      <c r="J196" s="139"/>
      <c r="K196" s="139"/>
      <c r="M196" s="139"/>
      <c r="N196" s="139"/>
      <c r="O196" s="139"/>
      <c r="Q196" s="139"/>
      <c r="R196" s="139"/>
      <c r="S196" s="139"/>
      <c r="U196" s="139"/>
      <c r="V196" s="139"/>
      <c r="W196" s="139"/>
      <c r="Y196" s="139"/>
      <c r="Z196" s="139"/>
      <c r="AA196" s="139"/>
      <c r="AC196" s="139"/>
      <c r="AD196" s="139"/>
      <c r="AE196" s="139"/>
      <c r="AG196" s="139"/>
      <c r="AH196" s="139"/>
      <c r="AI196" s="139"/>
      <c r="AK196" s="139"/>
      <c r="AL196" s="139"/>
      <c r="AM196" s="139"/>
      <c r="AO196" s="139"/>
      <c r="AP196" s="139"/>
      <c r="AQ196" s="139"/>
      <c r="AS196" s="139"/>
      <c r="AT196" s="139"/>
      <c r="AU196" s="139"/>
      <c r="AW196" s="139"/>
      <c r="AX196" s="139"/>
      <c r="AY196" s="139"/>
      <c r="BA196" s="139"/>
      <c r="BB196" s="139"/>
      <c r="BC196" s="139"/>
      <c r="BE196" s="139"/>
      <c r="BF196" s="139"/>
      <c r="BG196" s="139"/>
      <c r="BI196" s="139"/>
      <c r="BJ196" s="139"/>
      <c r="BK196" s="139"/>
      <c r="BM196" s="139"/>
      <c r="BN196" s="139"/>
      <c r="BO196" s="139"/>
      <c r="BQ196" s="139"/>
      <c r="BR196" s="139"/>
      <c r="BS196" s="139"/>
      <c r="BU196" s="139"/>
      <c r="BV196" s="139"/>
      <c r="BW196" s="139"/>
      <c r="BY196" s="139"/>
      <c r="BZ196" s="139"/>
      <c r="CA196" s="139"/>
      <c r="CC196" s="139"/>
      <c r="CD196" s="139"/>
      <c r="CE196" s="139"/>
      <c r="CG196" s="139"/>
      <c r="CH196" s="139"/>
      <c r="CI196" s="139"/>
    </row>
    <row r="197" ht="19.5" customHeight="1">
      <c r="A197" s="147"/>
      <c r="B197" s="138"/>
      <c r="C197" s="52"/>
      <c r="D197" s="138"/>
      <c r="E197" s="148"/>
      <c r="F197" s="149"/>
      <c r="G197" s="45"/>
      <c r="I197" s="148"/>
      <c r="J197" s="149"/>
      <c r="K197" s="45"/>
      <c r="M197" s="148"/>
      <c r="N197" s="149"/>
      <c r="O197" s="45"/>
      <c r="Q197" s="148"/>
      <c r="R197" s="149"/>
      <c r="S197" s="45"/>
      <c r="U197" s="148"/>
      <c r="V197" s="149"/>
      <c r="W197" s="45"/>
      <c r="Y197" s="148"/>
      <c r="Z197" s="149"/>
      <c r="AA197" s="45"/>
      <c r="AC197" s="148"/>
      <c r="AD197" s="149"/>
      <c r="AE197" s="45"/>
      <c r="AG197" s="148"/>
      <c r="AH197" s="149"/>
      <c r="AI197" s="45"/>
      <c r="AK197" s="148"/>
      <c r="AL197" s="149"/>
      <c r="AM197" s="45"/>
      <c r="AO197" s="148"/>
      <c r="AP197" s="149"/>
      <c r="AQ197" s="45"/>
      <c r="AS197" s="148"/>
      <c r="AT197" s="149"/>
      <c r="AU197" s="45"/>
      <c r="AW197" s="148"/>
      <c r="AX197" s="149"/>
      <c r="AY197" s="45"/>
      <c r="BA197" s="148"/>
      <c r="BB197" s="149"/>
      <c r="BC197" s="45"/>
      <c r="BE197" s="148"/>
      <c r="BF197" s="149"/>
      <c r="BG197" s="45"/>
      <c r="BI197" s="148"/>
      <c r="BJ197" s="149"/>
      <c r="BK197" s="45"/>
      <c r="BM197" s="148"/>
      <c r="BN197" s="149"/>
      <c r="BO197" s="45"/>
      <c r="BQ197" s="148"/>
      <c r="BR197" s="149"/>
      <c r="BS197" s="45"/>
      <c r="BU197" s="148"/>
      <c r="BV197" s="149"/>
      <c r="BW197" s="45"/>
      <c r="BY197" s="148"/>
      <c r="BZ197" s="149"/>
      <c r="CA197" s="45"/>
      <c r="CC197" s="148"/>
      <c r="CD197" s="149"/>
      <c r="CE197" s="45"/>
      <c r="CG197" s="148"/>
      <c r="CH197" s="149"/>
      <c r="CI197" s="45"/>
    </row>
    <row r="198" ht="19.5" customHeight="1">
      <c r="A198" s="147"/>
      <c r="B198" s="140"/>
      <c r="C198" s="57"/>
      <c r="D198" s="140"/>
      <c r="E198" s="138"/>
      <c r="G198" s="52"/>
      <c r="I198" s="138"/>
      <c r="K198" s="52"/>
      <c r="M198" s="138"/>
      <c r="O198" s="52"/>
      <c r="Q198" s="138"/>
      <c r="S198" s="52"/>
      <c r="U198" s="138"/>
      <c r="W198" s="52"/>
      <c r="Y198" s="138"/>
      <c r="AA198" s="52"/>
      <c r="AC198" s="138"/>
      <c r="AE198" s="52"/>
      <c r="AG198" s="138"/>
      <c r="AI198" s="52"/>
      <c r="AK198" s="138"/>
      <c r="AM198" s="52"/>
      <c r="AO198" s="138"/>
      <c r="AQ198" s="52"/>
      <c r="AS198" s="138"/>
      <c r="AU198" s="52"/>
      <c r="AW198" s="138"/>
      <c r="AY198" s="52"/>
      <c r="BA198" s="138"/>
      <c r="BC198" s="52"/>
      <c r="BE198" s="138"/>
      <c r="BG198" s="52"/>
      <c r="BI198" s="138"/>
      <c r="BK198" s="52"/>
      <c r="BM198" s="138"/>
      <c r="BO198" s="52"/>
      <c r="BQ198" s="138"/>
      <c r="BS198" s="52"/>
      <c r="BU198" s="138"/>
      <c r="BW198" s="52"/>
      <c r="BY198" s="138"/>
      <c r="CA198" s="52"/>
      <c r="CC198" s="138"/>
      <c r="CE198" s="52"/>
      <c r="CG198" s="138"/>
      <c r="CI198" s="52"/>
    </row>
    <row r="199" ht="25.5" customHeight="1">
      <c r="A199" s="147"/>
      <c r="B199" s="173" t="s">
        <v>168</v>
      </c>
      <c r="C199" s="174" t="s">
        <v>165</v>
      </c>
      <c r="D199" s="175" t="s">
        <v>164</v>
      </c>
      <c r="E199" s="140"/>
      <c r="F199" s="56"/>
      <c r="G199" s="57"/>
      <c r="I199" s="140"/>
      <c r="J199" s="56"/>
      <c r="K199" s="57"/>
      <c r="M199" s="140"/>
      <c r="N199" s="56"/>
      <c r="O199" s="57"/>
      <c r="Q199" s="140"/>
      <c r="R199" s="56"/>
      <c r="S199" s="57"/>
      <c r="U199" s="140"/>
      <c r="V199" s="56"/>
      <c r="W199" s="57"/>
      <c r="Y199" s="140"/>
      <c r="Z199" s="56"/>
      <c r="AA199" s="57"/>
      <c r="AC199" s="140"/>
      <c r="AD199" s="56"/>
      <c r="AE199" s="57"/>
      <c r="AG199" s="140"/>
      <c r="AH199" s="56"/>
      <c r="AI199" s="57"/>
      <c r="AK199" s="140"/>
      <c r="AL199" s="56"/>
      <c r="AM199" s="57"/>
      <c r="AO199" s="140"/>
      <c r="AP199" s="56"/>
      <c r="AQ199" s="57"/>
      <c r="AS199" s="140"/>
      <c r="AT199" s="56"/>
      <c r="AU199" s="57"/>
      <c r="AW199" s="140"/>
      <c r="AX199" s="56"/>
      <c r="AY199" s="57"/>
      <c r="BA199" s="140"/>
      <c r="BB199" s="56"/>
      <c r="BC199" s="57"/>
      <c r="BE199" s="140"/>
      <c r="BF199" s="56"/>
      <c r="BG199" s="57"/>
      <c r="BI199" s="140"/>
      <c r="BJ199" s="56"/>
      <c r="BK199" s="57"/>
      <c r="BM199" s="140"/>
      <c r="BN199" s="56"/>
      <c r="BO199" s="57"/>
      <c r="BQ199" s="140"/>
      <c r="BR199" s="56"/>
      <c r="BS199" s="57"/>
      <c r="BU199" s="140"/>
      <c r="BV199" s="56"/>
      <c r="BW199" s="57"/>
      <c r="BY199" s="140"/>
      <c r="BZ199" s="56"/>
      <c r="CA199" s="57"/>
      <c r="CC199" s="140"/>
      <c r="CD199" s="56"/>
      <c r="CE199" s="57"/>
      <c r="CG199" s="140"/>
      <c r="CH199" s="56"/>
      <c r="CI199" s="57"/>
    </row>
    <row r="200" ht="25.5" customHeight="1">
      <c r="A200" s="139"/>
      <c r="B200" s="153">
        <v>3.0</v>
      </c>
      <c r="C200" s="154" t="s">
        <v>169</v>
      </c>
      <c r="D200" s="155" t="s">
        <v>209</v>
      </c>
      <c r="E200" s="156" t="s">
        <v>171</v>
      </c>
      <c r="F200" s="38"/>
      <c r="G200" s="157"/>
      <c r="I200" s="156" t="s">
        <v>171</v>
      </c>
      <c r="J200" s="38"/>
      <c r="K200" s="157"/>
      <c r="M200" s="156" t="s">
        <v>171</v>
      </c>
      <c r="N200" s="38"/>
      <c r="O200" s="157"/>
      <c r="Q200" s="156" t="s">
        <v>171</v>
      </c>
      <c r="R200" s="38"/>
      <c r="S200" s="157"/>
      <c r="U200" s="156" t="s">
        <v>171</v>
      </c>
      <c r="V200" s="38"/>
      <c r="W200" s="157"/>
      <c r="Y200" s="156" t="s">
        <v>171</v>
      </c>
      <c r="Z200" s="38"/>
      <c r="AA200" s="157"/>
      <c r="AC200" s="156" t="s">
        <v>171</v>
      </c>
      <c r="AD200" s="38"/>
      <c r="AE200" s="157"/>
      <c r="AG200" s="156" t="s">
        <v>171</v>
      </c>
      <c r="AH200" s="38"/>
      <c r="AI200" s="157"/>
      <c r="AK200" s="156" t="s">
        <v>171</v>
      </c>
      <c r="AL200" s="38"/>
      <c r="AM200" s="157"/>
      <c r="AO200" s="156" t="s">
        <v>171</v>
      </c>
      <c r="AP200" s="38"/>
      <c r="AQ200" s="157"/>
      <c r="AS200" s="156" t="s">
        <v>171</v>
      </c>
      <c r="AT200" s="38"/>
      <c r="AU200" s="157"/>
      <c r="AW200" s="156" t="s">
        <v>171</v>
      </c>
      <c r="AX200" s="38"/>
      <c r="AY200" s="157"/>
      <c r="BA200" s="156" t="s">
        <v>171</v>
      </c>
      <c r="BB200" s="38"/>
      <c r="BC200" s="157"/>
      <c r="BE200" s="156" t="s">
        <v>171</v>
      </c>
      <c r="BF200" s="38"/>
      <c r="BG200" s="157"/>
      <c r="BI200" s="156" t="s">
        <v>171</v>
      </c>
      <c r="BJ200" s="38"/>
      <c r="BK200" s="157"/>
      <c r="BM200" s="156" t="s">
        <v>171</v>
      </c>
      <c r="BN200" s="38"/>
      <c r="BO200" s="157"/>
      <c r="BQ200" s="156" t="s">
        <v>171</v>
      </c>
      <c r="BR200" s="38"/>
      <c r="BS200" s="157"/>
      <c r="BU200" s="156" t="s">
        <v>171</v>
      </c>
      <c r="BV200" s="38"/>
      <c r="BW200" s="157"/>
      <c r="BY200" s="156" t="s">
        <v>171</v>
      </c>
      <c r="BZ200" s="38"/>
      <c r="CA200" s="157"/>
      <c r="CC200" s="156" t="s">
        <v>171</v>
      </c>
      <c r="CD200" s="38"/>
      <c r="CE200" s="157"/>
      <c r="CG200" s="156" t="s">
        <v>171</v>
      </c>
      <c r="CH200" s="38"/>
      <c r="CI200" s="157"/>
    </row>
    <row r="201" ht="8.25" customHeight="1">
      <c r="A201" s="166"/>
      <c r="E201" s="137"/>
      <c r="I201" s="137"/>
      <c r="M201" s="137"/>
      <c r="Q201" s="137"/>
      <c r="U201" s="137"/>
      <c r="Y201" s="137"/>
      <c r="AC201" s="137"/>
      <c r="AG201" s="137"/>
      <c r="AK201" s="137"/>
      <c r="AO201" s="137"/>
      <c r="AS201" s="137"/>
      <c r="AW201" s="137"/>
      <c r="BA201" s="137"/>
      <c r="BE201" s="137"/>
      <c r="BI201" s="137"/>
      <c r="BM201" s="137"/>
      <c r="BQ201" s="137"/>
      <c r="BU201" s="137"/>
      <c r="BY201" s="137"/>
      <c r="CC201" s="137"/>
      <c r="CG201" s="137"/>
    </row>
    <row r="202">
      <c r="A202" s="142" t="b">
        <v>0</v>
      </c>
      <c r="B202" s="165" t="s">
        <v>210</v>
      </c>
      <c r="C202" s="45"/>
      <c r="D202" s="172" t="s">
        <v>38</v>
      </c>
      <c r="E202" s="145" t="s">
        <v>167</v>
      </c>
      <c r="F202" s="146"/>
      <c r="G202" s="146"/>
      <c r="I202" s="145" t="s">
        <v>167</v>
      </c>
      <c r="J202" s="146"/>
      <c r="K202" s="146"/>
      <c r="M202" s="145" t="s">
        <v>167</v>
      </c>
      <c r="N202" s="146"/>
      <c r="O202" s="146"/>
      <c r="Q202" s="145" t="s">
        <v>167</v>
      </c>
      <c r="R202" s="146"/>
      <c r="S202" s="146"/>
      <c r="U202" s="145" t="s">
        <v>167</v>
      </c>
      <c r="V202" s="146"/>
      <c r="W202" s="146"/>
      <c r="Y202" s="145" t="s">
        <v>167</v>
      </c>
      <c r="Z202" s="146"/>
      <c r="AA202" s="146"/>
      <c r="AC202" s="145" t="s">
        <v>167</v>
      </c>
      <c r="AD202" s="146"/>
      <c r="AE202" s="146"/>
      <c r="AG202" s="145" t="s">
        <v>167</v>
      </c>
      <c r="AH202" s="146"/>
      <c r="AI202" s="146"/>
      <c r="AK202" s="145" t="s">
        <v>167</v>
      </c>
      <c r="AL202" s="146"/>
      <c r="AM202" s="146"/>
      <c r="AO202" s="145" t="s">
        <v>167</v>
      </c>
      <c r="AP202" s="146"/>
      <c r="AQ202" s="146"/>
      <c r="AS202" s="145" t="s">
        <v>167</v>
      </c>
      <c r="AT202" s="146"/>
      <c r="AU202" s="146"/>
      <c r="AW202" s="145" t="s">
        <v>167</v>
      </c>
      <c r="AX202" s="146"/>
      <c r="AY202" s="146"/>
      <c r="BA202" s="145" t="s">
        <v>167</v>
      </c>
      <c r="BB202" s="146"/>
      <c r="BC202" s="146"/>
      <c r="BE202" s="145" t="s">
        <v>167</v>
      </c>
      <c r="BF202" s="146"/>
      <c r="BG202" s="146"/>
      <c r="BI202" s="145" t="s">
        <v>167</v>
      </c>
      <c r="BJ202" s="146"/>
      <c r="BK202" s="146"/>
      <c r="BM202" s="145" t="s">
        <v>167</v>
      </c>
      <c r="BN202" s="146"/>
      <c r="BO202" s="146"/>
      <c r="BQ202" s="145" t="s">
        <v>167</v>
      </c>
      <c r="BR202" s="146"/>
      <c r="BS202" s="146"/>
      <c r="BU202" s="145" t="s">
        <v>167</v>
      </c>
      <c r="BV202" s="146"/>
      <c r="BW202" s="146"/>
      <c r="BY202" s="145" t="s">
        <v>167</v>
      </c>
      <c r="BZ202" s="146"/>
      <c r="CA202" s="146"/>
      <c r="CC202" s="145" t="s">
        <v>167</v>
      </c>
      <c r="CD202" s="146"/>
      <c r="CE202" s="146"/>
      <c r="CG202" s="145" t="s">
        <v>167</v>
      </c>
      <c r="CH202" s="146"/>
      <c r="CI202" s="146"/>
    </row>
    <row r="203">
      <c r="A203" s="147"/>
      <c r="B203" s="138"/>
      <c r="C203" s="52"/>
      <c r="D203" s="138"/>
      <c r="E203" s="139"/>
      <c r="F203" s="139"/>
      <c r="G203" s="139"/>
      <c r="I203" s="139"/>
      <c r="J203" s="139"/>
      <c r="K203" s="139"/>
      <c r="M203" s="139"/>
      <c r="N203" s="139"/>
      <c r="O203" s="139"/>
      <c r="Q203" s="139"/>
      <c r="R203" s="139"/>
      <c r="S203" s="139"/>
      <c r="U203" s="139"/>
      <c r="V203" s="139"/>
      <c r="W203" s="139"/>
      <c r="Y203" s="139"/>
      <c r="Z203" s="139"/>
      <c r="AA203" s="139"/>
      <c r="AC203" s="139"/>
      <c r="AD203" s="139"/>
      <c r="AE203" s="139"/>
      <c r="AG203" s="139"/>
      <c r="AH203" s="139"/>
      <c r="AI203" s="139"/>
      <c r="AK203" s="139"/>
      <c r="AL203" s="139"/>
      <c r="AM203" s="139"/>
      <c r="AO203" s="139"/>
      <c r="AP203" s="139"/>
      <c r="AQ203" s="139"/>
      <c r="AS203" s="139"/>
      <c r="AT203" s="139"/>
      <c r="AU203" s="139"/>
      <c r="AW203" s="139"/>
      <c r="AX203" s="139"/>
      <c r="AY203" s="139"/>
      <c r="BA203" s="139"/>
      <c r="BB203" s="139"/>
      <c r="BC203" s="139"/>
      <c r="BE203" s="139"/>
      <c r="BF203" s="139"/>
      <c r="BG203" s="139"/>
      <c r="BI203" s="139"/>
      <c r="BJ203" s="139"/>
      <c r="BK203" s="139"/>
      <c r="BM203" s="139"/>
      <c r="BN203" s="139"/>
      <c r="BO203" s="139"/>
      <c r="BQ203" s="139"/>
      <c r="BR203" s="139"/>
      <c r="BS203" s="139"/>
      <c r="BU203" s="139"/>
      <c r="BV203" s="139"/>
      <c r="BW203" s="139"/>
      <c r="BY203" s="139"/>
      <c r="BZ203" s="139"/>
      <c r="CA203" s="139"/>
      <c r="CC203" s="139"/>
      <c r="CD203" s="139"/>
      <c r="CE203" s="139"/>
      <c r="CG203" s="139"/>
      <c r="CH203" s="139"/>
      <c r="CI203" s="139"/>
    </row>
    <row r="204" ht="16.5" customHeight="1">
      <c r="A204" s="147"/>
      <c r="B204" s="138"/>
      <c r="C204" s="52"/>
      <c r="D204" s="138"/>
      <c r="E204" s="148"/>
      <c r="F204" s="149"/>
      <c r="G204" s="45"/>
      <c r="I204" s="148"/>
      <c r="J204" s="149"/>
      <c r="K204" s="45"/>
      <c r="M204" s="148"/>
      <c r="N204" s="149"/>
      <c r="O204" s="45"/>
      <c r="Q204" s="148"/>
      <c r="R204" s="149"/>
      <c r="S204" s="45"/>
      <c r="U204" s="148"/>
      <c r="V204" s="149"/>
      <c r="W204" s="45"/>
      <c r="Y204" s="148"/>
      <c r="Z204" s="149"/>
      <c r="AA204" s="45"/>
      <c r="AC204" s="148"/>
      <c r="AD204" s="149"/>
      <c r="AE204" s="45"/>
      <c r="AG204" s="148"/>
      <c r="AH204" s="149"/>
      <c r="AI204" s="45"/>
      <c r="AK204" s="148"/>
      <c r="AL204" s="149"/>
      <c r="AM204" s="45"/>
      <c r="AO204" s="148"/>
      <c r="AP204" s="149"/>
      <c r="AQ204" s="45"/>
      <c r="AS204" s="148"/>
      <c r="AT204" s="149"/>
      <c r="AU204" s="45"/>
      <c r="AW204" s="148"/>
      <c r="AX204" s="149"/>
      <c r="AY204" s="45"/>
      <c r="BA204" s="148"/>
      <c r="BB204" s="149"/>
      <c r="BC204" s="45"/>
      <c r="BE204" s="148"/>
      <c r="BF204" s="149"/>
      <c r="BG204" s="45"/>
      <c r="BI204" s="148"/>
      <c r="BJ204" s="149"/>
      <c r="BK204" s="45"/>
      <c r="BM204" s="148"/>
      <c r="BN204" s="149"/>
      <c r="BO204" s="45"/>
      <c r="BQ204" s="148"/>
      <c r="BR204" s="149"/>
      <c r="BS204" s="45"/>
      <c r="BU204" s="148"/>
      <c r="BV204" s="149"/>
      <c r="BW204" s="45"/>
      <c r="BY204" s="148"/>
      <c r="BZ204" s="149"/>
      <c r="CA204" s="45"/>
      <c r="CC204" s="148"/>
      <c r="CD204" s="149"/>
      <c r="CE204" s="45"/>
      <c r="CG204" s="148"/>
      <c r="CH204" s="149"/>
      <c r="CI204" s="45"/>
    </row>
    <row r="205" ht="16.5" customHeight="1">
      <c r="A205" s="147"/>
      <c r="B205" s="140"/>
      <c r="C205" s="57"/>
      <c r="D205" s="140"/>
      <c r="E205" s="138"/>
      <c r="G205" s="52"/>
      <c r="I205" s="138"/>
      <c r="K205" s="52"/>
      <c r="M205" s="138"/>
      <c r="O205" s="52"/>
      <c r="Q205" s="138"/>
      <c r="S205" s="52"/>
      <c r="U205" s="138"/>
      <c r="W205" s="52"/>
      <c r="Y205" s="138"/>
      <c r="AA205" s="52"/>
      <c r="AC205" s="138"/>
      <c r="AE205" s="52"/>
      <c r="AG205" s="138"/>
      <c r="AI205" s="52"/>
      <c r="AK205" s="138"/>
      <c r="AM205" s="52"/>
      <c r="AO205" s="138"/>
      <c r="AQ205" s="52"/>
      <c r="AS205" s="138"/>
      <c r="AU205" s="52"/>
      <c r="AW205" s="138"/>
      <c r="AY205" s="52"/>
      <c r="BA205" s="138"/>
      <c r="BC205" s="52"/>
      <c r="BE205" s="138"/>
      <c r="BG205" s="52"/>
      <c r="BI205" s="138"/>
      <c r="BK205" s="52"/>
      <c r="BM205" s="138"/>
      <c r="BO205" s="52"/>
      <c r="BQ205" s="138"/>
      <c r="BS205" s="52"/>
      <c r="BU205" s="138"/>
      <c r="BW205" s="52"/>
      <c r="BY205" s="138"/>
      <c r="CA205" s="52"/>
      <c r="CC205" s="138"/>
      <c r="CE205" s="52"/>
      <c r="CG205" s="138"/>
      <c r="CI205" s="52"/>
    </row>
    <row r="206" ht="23.25" customHeight="1">
      <c r="A206" s="147"/>
      <c r="B206" s="173" t="s">
        <v>168</v>
      </c>
      <c r="C206" s="174" t="s">
        <v>165</v>
      </c>
      <c r="D206" s="175" t="s">
        <v>164</v>
      </c>
      <c r="E206" s="140"/>
      <c r="F206" s="56"/>
      <c r="G206" s="57"/>
      <c r="I206" s="140"/>
      <c r="J206" s="56"/>
      <c r="K206" s="57"/>
      <c r="M206" s="140"/>
      <c r="N206" s="56"/>
      <c r="O206" s="57"/>
      <c r="Q206" s="140"/>
      <c r="R206" s="56"/>
      <c r="S206" s="57"/>
      <c r="U206" s="140"/>
      <c r="V206" s="56"/>
      <c r="W206" s="57"/>
      <c r="Y206" s="140"/>
      <c r="Z206" s="56"/>
      <c r="AA206" s="57"/>
      <c r="AC206" s="140"/>
      <c r="AD206" s="56"/>
      <c r="AE206" s="57"/>
      <c r="AG206" s="140"/>
      <c r="AH206" s="56"/>
      <c r="AI206" s="57"/>
      <c r="AK206" s="140"/>
      <c r="AL206" s="56"/>
      <c r="AM206" s="57"/>
      <c r="AO206" s="140"/>
      <c r="AP206" s="56"/>
      <c r="AQ206" s="57"/>
      <c r="AS206" s="140"/>
      <c r="AT206" s="56"/>
      <c r="AU206" s="57"/>
      <c r="AW206" s="140"/>
      <c r="AX206" s="56"/>
      <c r="AY206" s="57"/>
      <c r="BA206" s="140"/>
      <c r="BB206" s="56"/>
      <c r="BC206" s="57"/>
      <c r="BE206" s="140"/>
      <c r="BF206" s="56"/>
      <c r="BG206" s="57"/>
      <c r="BI206" s="140"/>
      <c r="BJ206" s="56"/>
      <c r="BK206" s="57"/>
      <c r="BM206" s="140"/>
      <c r="BN206" s="56"/>
      <c r="BO206" s="57"/>
      <c r="BQ206" s="140"/>
      <c r="BR206" s="56"/>
      <c r="BS206" s="57"/>
      <c r="BU206" s="140"/>
      <c r="BV206" s="56"/>
      <c r="BW206" s="57"/>
      <c r="BY206" s="140"/>
      <c r="BZ206" s="56"/>
      <c r="CA206" s="57"/>
      <c r="CC206" s="140"/>
      <c r="CD206" s="56"/>
      <c r="CE206" s="57"/>
      <c r="CG206" s="140"/>
      <c r="CH206" s="56"/>
      <c r="CI206" s="57"/>
    </row>
    <row r="207" ht="25.5" customHeight="1">
      <c r="A207" s="139"/>
      <c r="B207" s="153">
        <v>3.0</v>
      </c>
      <c r="C207" s="154" t="s">
        <v>169</v>
      </c>
      <c r="D207" s="155" t="s">
        <v>176</v>
      </c>
      <c r="E207" s="156" t="s">
        <v>171</v>
      </c>
      <c r="F207" s="38"/>
      <c r="G207" s="157"/>
      <c r="I207" s="156" t="s">
        <v>171</v>
      </c>
      <c r="J207" s="38"/>
      <c r="K207" s="157"/>
      <c r="M207" s="156" t="s">
        <v>171</v>
      </c>
      <c r="N207" s="38"/>
      <c r="O207" s="157"/>
      <c r="Q207" s="156" t="s">
        <v>171</v>
      </c>
      <c r="R207" s="38"/>
      <c r="S207" s="157"/>
      <c r="U207" s="156" t="s">
        <v>171</v>
      </c>
      <c r="V207" s="38"/>
      <c r="W207" s="157"/>
      <c r="Y207" s="156" t="s">
        <v>171</v>
      </c>
      <c r="Z207" s="38"/>
      <c r="AA207" s="157"/>
      <c r="AC207" s="156" t="s">
        <v>171</v>
      </c>
      <c r="AD207" s="38"/>
      <c r="AE207" s="157"/>
      <c r="AG207" s="156" t="s">
        <v>171</v>
      </c>
      <c r="AH207" s="38"/>
      <c r="AI207" s="157"/>
      <c r="AK207" s="156" t="s">
        <v>171</v>
      </c>
      <c r="AL207" s="38"/>
      <c r="AM207" s="157"/>
      <c r="AO207" s="156" t="s">
        <v>171</v>
      </c>
      <c r="AP207" s="38"/>
      <c r="AQ207" s="157"/>
      <c r="AS207" s="156" t="s">
        <v>171</v>
      </c>
      <c r="AT207" s="38"/>
      <c r="AU207" s="157"/>
      <c r="AW207" s="156" t="s">
        <v>171</v>
      </c>
      <c r="AX207" s="38"/>
      <c r="AY207" s="157"/>
      <c r="BA207" s="156" t="s">
        <v>171</v>
      </c>
      <c r="BB207" s="38"/>
      <c r="BC207" s="157"/>
      <c r="BE207" s="156" t="s">
        <v>171</v>
      </c>
      <c r="BF207" s="38"/>
      <c r="BG207" s="157"/>
      <c r="BI207" s="156" t="s">
        <v>171</v>
      </c>
      <c r="BJ207" s="38"/>
      <c r="BK207" s="157"/>
      <c r="BM207" s="156" t="s">
        <v>171</v>
      </c>
      <c r="BN207" s="38"/>
      <c r="BO207" s="157"/>
      <c r="BQ207" s="156" t="s">
        <v>171</v>
      </c>
      <c r="BR207" s="38"/>
      <c r="BS207" s="157"/>
      <c r="BU207" s="156" t="s">
        <v>171</v>
      </c>
      <c r="BV207" s="38"/>
      <c r="BW207" s="157"/>
      <c r="BY207" s="156" t="s">
        <v>171</v>
      </c>
      <c r="BZ207" s="38"/>
      <c r="CA207" s="157"/>
      <c r="CC207" s="156" t="s">
        <v>171</v>
      </c>
      <c r="CD207" s="38"/>
      <c r="CE207" s="157"/>
      <c r="CG207" s="156" t="s">
        <v>171</v>
      </c>
      <c r="CH207" s="38"/>
      <c r="CI207" s="157"/>
    </row>
    <row r="208" ht="8.25" customHeight="1">
      <c r="A208" s="166"/>
      <c r="E208" s="137"/>
      <c r="I208" s="137"/>
      <c r="M208" s="137"/>
      <c r="Q208" s="137"/>
      <c r="U208" s="137"/>
      <c r="Y208" s="137"/>
      <c r="AC208" s="137"/>
      <c r="AG208" s="137"/>
      <c r="AK208" s="137"/>
      <c r="AO208" s="137"/>
      <c r="AS208" s="137"/>
      <c r="AW208" s="137"/>
      <c r="BA208" s="137"/>
      <c r="BE208" s="137"/>
      <c r="BI208" s="137"/>
      <c r="BM208" s="137"/>
      <c r="BQ208" s="137"/>
      <c r="BU208" s="137"/>
      <c r="BY208" s="137"/>
      <c r="CC208" s="137"/>
      <c r="CG208" s="137"/>
    </row>
    <row r="209">
      <c r="A209" s="142" t="b">
        <v>0</v>
      </c>
      <c r="B209" s="143" t="s">
        <v>211</v>
      </c>
      <c r="C209" s="45"/>
      <c r="D209" s="172" t="s">
        <v>38</v>
      </c>
      <c r="E209" s="145" t="s">
        <v>167</v>
      </c>
      <c r="F209" s="146"/>
      <c r="G209" s="146"/>
      <c r="I209" s="145" t="s">
        <v>167</v>
      </c>
      <c r="J209" s="146"/>
      <c r="K209" s="146"/>
      <c r="M209" s="145" t="s">
        <v>167</v>
      </c>
      <c r="N209" s="146"/>
      <c r="O209" s="146"/>
      <c r="Q209" s="145" t="s">
        <v>167</v>
      </c>
      <c r="R209" s="146"/>
      <c r="S209" s="146"/>
      <c r="U209" s="145" t="s">
        <v>167</v>
      </c>
      <c r="V209" s="146"/>
      <c r="W209" s="146"/>
      <c r="Y209" s="145" t="s">
        <v>167</v>
      </c>
      <c r="Z209" s="146"/>
      <c r="AA209" s="146"/>
      <c r="AC209" s="145" t="s">
        <v>167</v>
      </c>
      <c r="AD209" s="146"/>
      <c r="AE209" s="146"/>
      <c r="AG209" s="145" t="s">
        <v>167</v>
      </c>
      <c r="AH209" s="146"/>
      <c r="AI209" s="146"/>
      <c r="AK209" s="145" t="s">
        <v>167</v>
      </c>
      <c r="AL209" s="146"/>
      <c r="AM209" s="146"/>
      <c r="AO209" s="145" t="s">
        <v>167</v>
      </c>
      <c r="AP209" s="146"/>
      <c r="AQ209" s="146"/>
      <c r="AS209" s="145" t="s">
        <v>167</v>
      </c>
      <c r="AT209" s="146"/>
      <c r="AU209" s="146"/>
      <c r="AW209" s="145" t="s">
        <v>167</v>
      </c>
      <c r="AX209" s="146"/>
      <c r="AY209" s="146"/>
      <c r="BA209" s="145" t="s">
        <v>167</v>
      </c>
      <c r="BB209" s="146"/>
      <c r="BC209" s="146"/>
      <c r="BE209" s="145" t="s">
        <v>167</v>
      </c>
      <c r="BF209" s="146"/>
      <c r="BG209" s="146"/>
      <c r="BI209" s="145" t="s">
        <v>167</v>
      </c>
      <c r="BJ209" s="146"/>
      <c r="BK209" s="146"/>
      <c r="BM209" s="145" t="s">
        <v>167</v>
      </c>
      <c r="BN209" s="146"/>
      <c r="BO209" s="146"/>
      <c r="BQ209" s="145" t="s">
        <v>167</v>
      </c>
      <c r="BR209" s="146"/>
      <c r="BS209" s="146"/>
      <c r="BU209" s="145" t="s">
        <v>167</v>
      </c>
      <c r="BV209" s="146"/>
      <c r="BW209" s="146"/>
      <c r="BY209" s="145" t="s">
        <v>167</v>
      </c>
      <c r="BZ209" s="146"/>
      <c r="CA209" s="146"/>
      <c r="CC209" s="145" t="s">
        <v>167</v>
      </c>
      <c r="CD209" s="146"/>
      <c r="CE209" s="146"/>
      <c r="CG209" s="145" t="s">
        <v>167</v>
      </c>
      <c r="CH209" s="146"/>
      <c r="CI209" s="146"/>
    </row>
    <row r="210">
      <c r="A210" s="147"/>
      <c r="B210" s="138"/>
      <c r="C210" s="52"/>
      <c r="D210" s="138"/>
      <c r="E210" s="139"/>
      <c r="F210" s="139"/>
      <c r="G210" s="139"/>
      <c r="I210" s="139"/>
      <c r="J210" s="139"/>
      <c r="K210" s="139"/>
      <c r="M210" s="139"/>
      <c r="N210" s="139"/>
      <c r="O210" s="139"/>
      <c r="Q210" s="139"/>
      <c r="R210" s="139"/>
      <c r="S210" s="139"/>
      <c r="U210" s="139"/>
      <c r="V210" s="139"/>
      <c r="W210" s="139"/>
      <c r="Y210" s="139"/>
      <c r="Z210" s="139"/>
      <c r="AA210" s="139"/>
      <c r="AC210" s="139"/>
      <c r="AD210" s="139"/>
      <c r="AE210" s="139"/>
      <c r="AG210" s="139"/>
      <c r="AH210" s="139"/>
      <c r="AI210" s="139"/>
      <c r="AK210" s="139"/>
      <c r="AL210" s="139"/>
      <c r="AM210" s="139"/>
      <c r="AO210" s="139"/>
      <c r="AP210" s="139"/>
      <c r="AQ210" s="139"/>
      <c r="AS210" s="139"/>
      <c r="AT210" s="139"/>
      <c r="AU210" s="139"/>
      <c r="AW210" s="139"/>
      <c r="AX210" s="139"/>
      <c r="AY210" s="139"/>
      <c r="BA210" s="139"/>
      <c r="BB210" s="139"/>
      <c r="BC210" s="139"/>
      <c r="BE210" s="139"/>
      <c r="BF210" s="139"/>
      <c r="BG210" s="139"/>
      <c r="BI210" s="139"/>
      <c r="BJ210" s="139"/>
      <c r="BK210" s="139"/>
      <c r="BM210" s="139"/>
      <c r="BN210" s="139"/>
      <c r="BO210" s="139"/>
      <c r="BQ210" s="139"/>
      <c r="BR210" s="139"/>
      <c r="BS210" s="139"/>
      <c r="BU210" s="139"/>
      <c r="BV210" s="139"/>
      <c r="BW210" s="139"/>
      <c r="BY210" s="139"/>
      <c r="BZ210" s="139"/>
      <c r="CA210" s="139"/>
      <c r="CC210" s="139"/>
      <c r="CD210" s="139"/>
      <c r="CE210" s="139"/>
      <c r="CG210" s="139"/>
      <c r="CH210" s="139"/>
      <c r="CI210" s="139"/>
    </row>
    <row r="211" ht="13.5" customHeight="1">
      <c r="A211" s="147"/>
      <c r="B211" s="138"/>
      <c r="C211" s="52"/>
      <c r="D211" s="138"/>
      <c r="E211" s="148"/>
      <c r="F211" s="149"/>
      <c r="G211" s="45"/>
      <c r="I211" s="148"/>
      <c r="J211" s="149"/>
      <c r="K211" s="45"/>
      <c r="M211" s="148"/>
      <c r="N211" s="149"/>
      <c r="O211" s="45"/>
      <c r="Q211" s="148"/>
      <c r="R211" s="149"/>
      <c r="S211" s="45"/>
      <c r="U211" s="148"/>
      <c r="V211" s="149"/>
      <c r="W211" s="45"/>
      <c r="Y211" s="148"/>
      <c r="Z211" s="149"/>
      <c r="AA211" s="45"/>
      <c r="AC211" s="148"/>
      <c r="AD211" s="149"/>
      <c r="AE211" s="45"/>
      <c r="AG211" s="148"/>
      <c r="AH211" s="149"/>
      <c r="AI211" s="45"/>
      <c r="AK211" s="148"/>
      <c r="AL211" s="149"/>
      <c r="AM211" s="45"/>
      <c r="AO211" s="148"/>
      <c r="AP211" s="149"/>
      <c r="AQ211" s="45"/>
      <c r="AS211" s="148"/>
      <c r="AT211" s="149"/>
      <c r="AU211" s="45"/>
      <c r="AW211" s="148"/>
      <c r="AX211" s="149"/>
      <c r="AY211" s="45"/>
      <c r="BA211" s="148"/>
      <c r="BB211" s="149"/>
      <c r="BC211" s="45"/>
      <c r="BE211" s="148"/>
      <c r="BF211" s="149"/>
      <c r="BG211" s="45"/>
      <c r="BI211" s="148"/>
      <c r="BJ211" s="149"/>
      <c r="BK211" s="45"/>
      <c r="BM211" s="148"/>
      <c r="BN211" s="149"/>
      <c r="BO211" s="45"/>
      <c r="BQ211" s="148"/>
      <c r="BR211" s="149"/>
      <c r="BS211" s="45"/>
      <c r="BU211" s="148"/>
      <c r="BV211" s="149"/>
      <c r="BW211" s="45"/>
      <c r="BY211" s="148"/>
      <c r="BZ211" s="149"/>
      <c r="CA211" s="45"/>
      <c r="CC211" s="148"/>
      <c r="CD211" s="149"/>
      <c r="CE211" s="45"/>
      <c r="CG211" s="148"/>
      <c r="CH211" s="149"/>
      <c r="CI211" s="45"/>
    </row>
    <row r="212" ht="13.5" customHeight="1">
      <c r="A212" s="147"/>
      <c r="B212" s="140"/>
      <c r="C212" s="57"/>
      <c r="D212" s="140"/>
      <c r="E212" s="138"/>
      <c r="G212" s="52"/>
      <c r="I212" s="138"/>
      <c r="K212" s="52"/>
      <c r="M212" s="138"/>
      <c r="O212" s="52"/>
      <c r="Q212" s="138"/>
      <c r="S212" s="52"/>
      <c r="U212" s="138"/>
      <c r="W212" s="52"/>
      <c r="Y212" s="138"/>
      <c r="AA212" s="52"/>
      <c r="AC212" s="138"/>
      <c r="AE212" s="52"/>
      <c r="AG212" s="138"/>
      <c r="AI212" s="52"/>
      <c r="AK212" s="138"/>
      <c r="AM212" s="52"/>
      <c r="AO212" s="138"/>
      <c r="AQ212" s="52"/>
      <c r="AS212" s="138"/>
      <c r="AU212" s="52"/>
      <c r="AW212" s="138"/>
      <c r="AY212" s="52"/>
      <c r="BA212" s="138"/>
      <c r="BC212" s="52"/>
      <c r="BE212" s="138"/>
      <c r="BG212" s="52"/>
      <c r="BI212" s="138"/>
      <c r="BK212" s="52"/>
      <c r="BM212" s="138"/>
      <c r="BO212" s="52"/>
      <c r="BQ212" s="138"/>
      <c r="BS212" s="52"/>
      <c r="BU212" s="138"/>
      <c r="BW212" s="52"/>
      <c r="BY212" s="138"/>
      <c r="CA212" s="52"/>
      <c r="CC212" s="138"/>
      <c r="CE212" s="52"/>
      <c r="CG212" s="138"/>
      <c r="CI212" s="52"/>
    </row>
    <row r="213" ht="24.75" customHeight="1">
      <c r="A213" s="147"/>
      <c r="B213" s="173" t="s">
        <v>168</v>
      </c>
      <c r="C213" s="174" t="s">
        <v>165</v>
      </c>
      <c r="D213" s="175" t="s">
        <v>164</v>
      </c>
      <c r="E213" s="140"/>
      <c r="F213" s="56"/>
      <c r="G213" s="57"/>
      <c r="I213" s="140"/>
      <c r="J213" s="56"/>
      <c r="K213" s="57"/>
      <c r="M213" s="140"/>
      <c r="N213" s="56"/>
      <c r="O213" s="57"/>
      <c r="Q213" s="140"/>
      <c r="R213" s="56"/>
      <c r="S213" s="57"/>
      <c r="U213" s="140"/>
      <c r="V213" s="56"/>
      <c r="W213" s="57"/>
      <c r="Y213" s="140"/>
      <c r="Z213" s="56"/>
      <c r="AA213" s="57"/>
      <c r="AC213" s="140"/>
      <c r="AD213" s="56"/>
      <c r="AE213" s="57"/>
      <c r="AG213" s="140"/>
      <c r="AH213" s="56"/>
      <c r="AI213" s="57"/>
      <c r="AK213" s="140"/>
      <c r="AL213" s="56"/>
      <c r="AM213" s="57"/>
      <c r="AO213" s="140"/>
      <c r="AP213" s="56"/>
      <c r="AQ213" s="57"/>
      <c r="AS213" s="140"/>
      <c r="AT213" s="56"/>
      <c r="AU213" s="57"/>
      <c r="AW213" s="140"/>
      <c r="AX213" s="56"/>
      <c r="AY213" s="57"/>
      <c r="BA213" s="140"/>
      <c r="BB213" s="56"/>
      <c r="BC213" s="57"/>
      <c r="BE213" s="140"/>
      <c r="BF213" s="56"/>
      <c r="BG213" s="57"/>
      <c r="BI213" s="140"/>
      <c r="BJ213" s="56"/>
      <c r="BK213" s="57"/>
      <c r="BM213" s="140"/>
      <c r="BN213" s="56"/>
      <c r="BO213" s="57"/>
      <c r="BQ213" s="140"/>
      <c r="BR213" s="56"/>
      <c r="BS213" s="57"/>
      <c r="BU213" s="140"/>
      <c r="BV213" s="56"/>
      <c r="BW213" s="57"/>
      <c r="BY213" s="140"/>
      <c r="BZ213" s="56"/>
      <c r="CA213" s="57"/>
      <c r="CC213" s="140"/>
      <c r="CD213" s="56"/>
      <c r="CE213" s="57"/>
      <c r="CG213" s="140"/>
      <c r="CH213" s="56"/>
      <c r="CI213" s="57"/>
    </row>
    <row r="214" ht="22.5" customHeight="1">
      <c r="A214" s="139"/>
      <c r="B214" s="153">
        <v>3.0</v>
      </c>
      <c r="C214" s="154" t="s">
        <v>169</v>
      </c>
      <c r="D214" s="155" t="s">
        <v>189</v>
      </c>
      <c r="E214" s="156" t="s">
        <v>171</v>
      </c>
      <c r="F214" s="38"/>
      <c r="G214" s="157"/>
      <c r="I214" s="156" t="s">
        <v>171</v>
      </c>
      <c r="J214" s="38"/>
      <c r="K214" s="157"/>
      <c r="M214" s="156" t="s">
        <v>171</v>
      </c>
      <c r="N214" s="38"/>
      <c r="O214" s="157"/>
      <c r="Q214" s="156" t="s">
        <v>171</v>
      </c>
      <c r="R214" s="38"/>
      <c r="S214" s="157"/>
      <c r="U214" s="156" t="s">
        <v>171</v>
      </c>
      <c r="V214" s="38"/>
      <c r="W214" s="157"/>
      <c r="Y214" s="156" t="s">
        <v>171</v>
      </c>
      <c r="Z214" s="38"/>
      <c r="AA214" s="157"/>
      <c r="AC214" s="156" t="s">
        <v>171</v>
      </c>
      <c r="AD214" s="38"/>
      <c r="AE214" s="157"/>
      <c r="AG214" s="156" t="s">
        <v>171</v>
      </c>
      <c r="AH214" s="38"/>
      <c r="AI214" s="157"/>
      <c r="AK214" s="156" t="s">
        <v>171</v>
      </c>
      <c r="AL214" s="38"/>
      <c r="AM214" s="157"/>
      <c r="AO214" s="156" t="s">
        <v>171</v>
      </c>
      <c r="AP214" s="38"/>
      <c r="AQ214" s="157"/>
      <c r="AS214" s="156" t="s">
        <v>171</v>
      </c>
      <c r="AT214" s="38"/>
      <c r="AU214" s="157"/>
      <c r="AW214" s="156" t="s">
        <v>171</v>
      </c>
      <c r="AX214" s="38"/>
      <c r="AY214" s="157"/>
      <c r="BA214" s="156" t="s">
        <v>171</v>
      </c>
      <c r="BB214" s="38"/>
      <c r="BC214" s="157"/>
      <c r="BE214" s="156" t="s">
        <v>171</v>
      </c>
      <c r="BF214" s="38"/>
      <c r="BG214" s="157"/>
      <c r="BI214" s="156" t="s">
        <v>171</v>
      </c>
      <c r="BJ214" s="38"/>
      <c r="BK214" s="157"/>
      <c r="BM214" s="156" t="s">
        <v>171</v>
      </c>
      <c r="BN214" s="38"/>
      <c r="BO214" s="157"/>
      <c r="BQ214" s="156" t="s">
        <v>171</v>
      </c>
      <c r="BR214" s="38"/>
      <c r="BS214" s="157"/>
      <c r="BU214" s="156" t="s">
        <v>171</v>
      </c>
      <c r="BV214" s="38"/>
      <c r="BW214" s="157"/>
      <c r="BY214" s="156" t="s">
        <v>171</v>
      </c>
      <c r="BZ214" s="38"/>
      <c r="CA214" s="157"/>
      <c r="CC214" s="156" t="s">
        <v>171</v>
      </c>
      <c r="CD214" s="38"/>
      <c r="CE214" s="157"/>
      <c r="CG214" s="156" t="s">
        <v>171</v>
      </c>
      <c r="CH214" s="38"/>
      <c r="CI214" s="157"/>
    </row>
    <row r="215" ht="7.5" customHeight="1">
      <c r="A215" s="166"/>
      <c r="E215" s="137"/>
      <c r="I215" s="137"/>
      <c r="M215" s="137"/>
      <c r="Q215" s="137"/>
      <c r="U215" s="137"/>
      <c r="Y215" s="137"/>
      <c r="AC215" s="137"/>
      <c r="AG215" s="137"/>
      <c r="AK215" s="137"/>
      <c r="AO215" s="137"/>
      <c r="AS215" s="137"/>
      <c r="AW215" s="137"/>
      <c r="BA215" s="137"/>
      <c r="BE215" s="137"/>
      <c r="BI215" s="137"/>
      <c r="BM215" s="137"/>
      <c r="BQ215" s="137"/>
      <c r="BU215" s="137"/>
      <c r="BY215" s="137"/>
      <c r="CC215" s="137"/>
      <c r="CG215" s="137"/>
    </row>
    <row r="216">
      <c r="A216" s="142" t="b">
        <v>0</v>
      </c>
      <c r="B216" s="165" t="s">
        <v>212</v>
      </c>
      <c r="C216" s="45"/>
      <c r="D216" s="172" t="s">
        <v>38</v>
      </c>
      <c r="E216" s="145" t="s">
        <v>167</v>
      </c>
      <c r="F216" s="146"/>
      <c r="G216" s="146"/>
      <c r="I216" s="145" t="s">
        <v>167</v>
      </c>
      <c r="J216" s="146"/>
      <c r="K216" s="146"/>
      <c r="M216" s="145" t="s">
        <v>167</v>
      </c>
      <c r="N216" s="146"/>
      <c r="O216" s="146"/>
      <c r="Q216" s="145" t="s">
        <v>167</v>
      </c>
      <c r="R216" s="146"/>
      <c r="S216" s="146"/>
      <c r="U216" s="145" t="s">
        <v>167</v>
      </c>
      <c r="V216" s="146"/>
      <c r="W216" s="146"/>
      <c r="Y216" s="145" t="s">
        <v>167</v>
      </c>
      <c r="Z216" s="146"/>
      <c r="AA216" s="146"/>
      <c r="AC216" s="145" t="s">
        <v>167</v>
      </c>
      <c r="AD216" s="146"/>
      <c r="AE216" s="146"/>
      <c r="AG216" s="145" t="s">
        <v>167</v>
      </c>
      <c r="AH216" s="146"/>
      <c r="AI216" s="146"/>
      <c r="AK216" s="145" t="s">
        <v>167</v>
      </c>
      <c r="AL216" s="146"/>
      <c r="AM216" s="146"/>
      <c r="AO216" s="145" t="s">
        <v>167</v>
      </c>
      <c r="AP216" s="146"/>
      <c r="AQ216" s="146"/>
      <c r="AS216" s="145" t="s">
        <v>167</v>
      </c>
      <c r="AT216" s="146"/>
      <c r="AU216" s="146"/>
      <c r="AW216" s="145" t="s">
        <v>167</v>
      </c>
      <c r="AX216" s="146"/>
      <c r="AY216" s="146"/>
      <c r="BA216" s="145" t="s">
        <v>167</v>
      </c>
      <c r="BB216" s="146"/>
      <c r="BC216" s="146"/>
      <c r="BE216" s="145" t="s">
        <v>167</v>
      </c>
      <c r="BF216" s="146"/>
      <c r="BG216" s="146"/>
      <c r="BI216" s="145" t="s">
        <v>167</v>
      </c>
      <c r="BJ216" s="146"/>
      <c r="BK216" s="146"/>
      <c r="BM216" s="145" t="s">
        <v>167</v>
      </c>
      <c r="BN216" s="146"/>
      <c r="BO216" s="146"/>
      <c r="BQ216" s="145" t="s">
        <v>167</v>
      </c>
      <c r="BR216" s="146"/>
      <c r="BS216" s="146"/>
      <c r="BU216" s="145" t="s">
        <v>167</v>
      </c>
      <c r="BV216" s="146"/>
      <c r="BW216" s="146"/>
      <c r="BY216" s="145" t="s">
        <v>167</v>
      </c>
      <c r="BZ216" s="146"/>
      <c r="CA216" s="146"/>
      <c r="CC216" s="145" t="s">
        <v>167</v>
      </c>
      <c r="CD216" s="146"/>
      <c r="CE216" s="146"/>
      <c r="CG216" s="145" t="s">
        <v>167</v>
      </c>
      <c r="CH216" s="146"/>
      <c r="CI216" s="146"/>
    </row>
    <row r="217">
      <c r="A217" s="147"/>
      <c r="B217" s="138"/>
      <c r="C217" s="52"/>
      <c r="D217" s="138"/>
      <c r="E217" s="139"/>
      <c r="F217" s="139"/>
      <c r="G217" s="139"/>
      <c r="I217" s="139"/>
      <c r="J217" s="139"/>
      <c r="K217" s="139"/>
      <c r="M217" s="139"/>
      <c r="N217" s="139"/>
      <c r="O217" s="139"/>
      <c r="Q217" s="139"/>
      <c r="R217" s="139"/>
      <c r="S217" s="139"/>
      <c r="U217" s="139"/>
      <c r="V217" s="139"/>
      <c r="W217" s="139"/>
      <c r="Y217" s="139"/>
      <c r="Z217" s="139"/>
      <c r="AA217" s="139"/>
      <c r="AC217" s="139"/>
      <c r="AD217" s="139"/>
      <c r="AE217" s="139"/>
      <c r="AG217" s="139"/>
      <c r="AH217" s="139"/>
      <c r="AI217" s="139"/>
      <c r="AK217" s="139"/>
      <c r="AL217" s="139"/>
      <c r="AM217" s="139"/>
      <c r="AO217" s="139"/>
      <c r="AP217" s="139"/>
      <c r="AQ217" s="139"/>
      <c r="AS217" s="139"/>
      <c r="AT217" s="139"/>
      <c r="AU217" s="139"/>
      <c r="AW217" s="139"/>
      <c r="AX217" s="139"/>
      <c r="AY217" s="139"/>
      <c r="BA217" s="139"/>
      <c r="BB217" s="139"/>
      <c r="BC217" s="139"/>
      <c r="BE217" s="139"/>
      <c r="BF217" s="139"/>
      <c r="BG217" s="139"/>
      <c r="BI217" s="139"/>
      <c r="BJ217" s="139"/>
      <c r="BK217" s="139"/>
      <c r="BM217" s="139"/>
      <c r="BN217" s="139"/>
      <c r="BO217" s="139"/>
      <c r="BQ217" s="139"/>
      <c r="BR217" s="139"/>
      <c r="BS217" s="139"/>
      <c r="BU217" s="139"/>
      <c r="BV217" s="139"/>
      <c r="BW217" s="139"/>
      <c r="BY217" s="139"/>
      <c r="BZ217" s="139"/>
      <c r="CA217" s="139"/>
      <c r="CC217" s="139"/>
      <c r="CD217" s="139"/>
      <c r="CE217" s="139"/>
      <c r="CG217" s="139"/>
      <c r="CH217" s="139"/>
      <c r="CI217" s="139"/>
    </row>
    <row r="218" ht="12.0" customHeight="1">
      <c r="A218" s="147"/>
      <c r="B218" s="138"/>
      <c r="C218" s="52"/>
      <c r="D218" s="138"/>
      <c r="E218" s="148"/>
      <c r="F218" s="149"/>
      <c r="G218" s="45"/>
      <c r="I218" s="148"/>
      <c r="J218" s="149"/>
      <c r="K218" s="45"/>
      <c r="M218" s="148"/>
      <c r="N218" s="149"/>
      <c r="O218" s="45"/>
      <c r="Q218" s="148"/>
      <c r="R218" s="149"/>
      <c r="S218" s="45"/>
      <c r="U218" s="148"/>
      <c r="V218" s="149"/>
      <c r="W218" s="45"/>
      <c r="Y218" s="148"/>
      <c r="Z218" s="149"/>
      <c r="AA218" s="45"/>
      <c r="AC218" s="148"/>
      <c r="AD218" s="149"/>
      <c r="AE218" s="45"/>
      <c r="AG218" s="148"/>
      <c r="AH218" s="149"/>
      <c r="AI218" s="45"/>
      <c r="AK218" s="148"/>
      <c r="AL218" s="149"/>
      <c r="AM218" s="45"/>
      <c r="AO218" s="148"/>
      <c r="AP218" s="149"/>
      <c r="AQ218" s="45"/>
      <c r="AS218" s="148"/>
      <c r="AT218" s="149"/>
      <c r="AU218" s="45"/>
      <c r="AW218" s="148"/>
      <c r="AX218" s="149"/>
      <c r="AY218" s="45"/>
      <c r="BA218" s="148"/>
      <c r="BB218" s="149"/>
      <c r="BC218" s="45"/>
      <c r="BE218" s="148"/>
      <c r="BF218" s="149"/>
      <c r="BG218" s="45"/>
      <c r="BI218" s="148"/>
      <c r="BJ218" s="149"/>
      <c r="BK218" s="45"/>
      <c r="BM218" s="148"/>
      <c r="BN218" s="149"/>
      <c r="BO218" s="45"/>
      <c r="BQ218" s="148"/>
      <c r="BR218" s="149"/>
      <c r="BS218" s="45"/>
      <c r="BU218" s="148"/>
      <c r="BV218" s="149"/>
      <c r="BW218" s="45"/>
      <c r="BY218" s="148"/>
      <c r="BZ218" s="149"/>
      <c r="CA218" s="45"/>
      <c r="CC218" s="148"/>
      <c r="CD218" s="149"/>
      <c r="CE218" s="45"/>
      <c r="CG218" s="148"/>
      <c r="CH218" s="149"/>
      <c r="CI218" s="45"/>
    </row>
    <row r="219" ht="12.0" customHeight="1">
      <c r="A219" s="147"/>
      <c r="B219" s="140"/>
      <c r="C219" s="57"/>
      <c r="D219" s="140"/>
      <c r="E219" s="138"/>
      <c r="G219" s="52"/>
      <c r="I219" s="138"/>
      <c r="K219" s="52"/>
      <c r="M219" s="138"/>
      <c r="O219" s="52"/>
      <c r="Q219" s="138"/>
      <c r="S219" s="52"/>
      <c r="U219" s="138"/>
      <c r="W219" s="52"/>
      <c r="Y219" s="138"/>
      <c r="AA219" s="52"/>
      <c r="AC219" s="138"/>
      <c r="AE219" s="52"/>
      <c r="AG219" s="138"/>
      <c r="AI219" s="52"/>
      <c r="AK219" s="138"/>
      <c r="AM219" s="52"/>
      <c r="AO219" s="138"/>
      <c r="AQ219" s="52"/>
      <c r="AS219" s="138"/>
      <c r="AU219" s="52"/>
      <c r="AW219" s="138"/>
      <c r="AY219" s="52"/>
      <c r="BA219" s="138"/>
      <c r="BC219" s="52"/>
      <c r="BE219" s="138"/>
      <c r="BG219" s="52"/>
      <c r="BI219" s="138"/>
      <c r="BK219" s="52"/>
      <c r="BM219" s="138"/>
      <c r="BO219" s="52"/>
      <c r="BQ219" s="138"/>
      <c r="BS219" s="52"/>
      <c r="BU219" s="138"/>
      <c r="BW219" s="52"/>
      <c r="BY219" s="138"/>
      <c r="CA219" s="52"/>
      <c r="CC219" s="138"/>
      <c r="CE219" s="52"/>
      <c r="CG219" s="138"/>
      <c r="CI219" s="52"/>
    </row>
    <row r="220" ht="22.5" customHeight="1">
      <c r="A220" s="147"/>
      <c r="B220" s="173" t="s">
        <v>168</v>
      </c>
      <c r="C220" s="174" t="s">
        <v>165</v>
      </c>
      <c r="D220" s="175" t="s">
        <v>164</v>
      </c>
      <c r="E220" s="140"/>
      <c r="F220" s="56"/>
      <c r="G220" s="57"/>
      <c r="I220" s="140"/>
      <c r="J220" s="56"/>
      <c r="K220" s="57"/>
      <c r="M220" s="140"/>
      <c r="N220" s="56"/>
      <c r="O220" s="57"/>
      <c r="Q220" s="140"/>
      <c r="R220" s="56"/>
      <c r="S220" s="57"/>
      <c r="U220" s="140"/>
      <c r="V220" s="56"/>
      <c r="W220" s="57"/>
      <c r="Y220" s="140"/>
      <c r="Z220" s="56"/>
      <c r="AA220" s="57"/>
      <c r="AC220" s="140"/>
      <c r="AD220" s="56"/>
      <c r="AE220" s="57"/>
      <c r="AG220" s="140"/>
      <c r="AH220" s="56"/>
      <c r="AI220" s="57"/>
      <c r="AK220" s="140"/>
      <c r="AL220" s="56"/>
      <c r="AM220" s="57"/>
      <c r="AO220" s="140"/>
      <c r="AP220" s="56"/>
      <c r="AQ220" s="57"/>
      <c r="AS220" s="140"/>
      <c r="AT220" s="56"/>
      <c r="AU220" s="57"/>
      <c r="AW220" s="140"/>
      <c r="AX220" s="56"/>
      <c r="AY220" s="57"/>
      <c r="BA220" s="140"/>
      <c r="BB220" s="56"/>
      <c r="BC220" s="57"/>
      <c r="BE220" s="140"/>
      <c r="BF220" s="56"/>
      <c r="BG220" s="57"/>
      <c r="BI220" s="140"/>
      <c r="BJ220" s="56"/>
      <c r="BK220" s="57"/>
      <c r="BM220" s="140"/>
      <c r="BN220" s="56"/>
      <c r="BO220" s="57"/>
      <c r="BQ220" s="140"/>
      <c r="BR220" s="56"/>
      <c r="BS220" s="57"/>
      <c r="BU220" s="140"/>
      <c r="BV220" s="56"/>
      <c r="BW220" s="57"/>
      <c r="BY220" s="140"/>
      <c r="BZ220" s="56"/>
      <c r="CA220" s="57"/>
      <c r="CC220" s="140"/>
      <c r="CD220" s="56"/>
      <c r="CE220" s="57"/>
      <c r="CG220" s="140"/>
      <c r="CH220" s="56"/>
      <c r="CI220" s="57"/>
    </row>
    <row r="221" ht="24.75" customHeight="1">
      <c r="A221" s="139"/>
      <c r="B221" s="153">
        <v>3.0</v>
      </c>
      <c r="C221" s="154" t="s">
        <v>169</v>
      </c>
      <c r="D221" s="155" t="s">
        <v>182</v>
      </c>
      <c r="E221" s="156" t="s">
        <v>171</v>
      </c>
      <c r="F221" s="38"/>
      <c r="G221" s="157"/>
      <c r="I221" s="156" t="s">
        <v>171</v>
      </c>
      <c r="J221" s="38"/>
      <c r="K221" s="157"/>
      <c r="M221" s="156" t="s">
        <v>171</v>
      </c>
      <c r="N221" s="38"/>
      <c r="O221" s="157"/>
      <c r="Q221" s="156" t="s">
        <v>171</v>
      </c>
      <c r="R221" s="38"/>
      <c r="S221" s="157"/>
      <c r="U221" s="156" t="s">
        <v>171</v>
      </c>
      <c r="V221" s="38"/>
      <c r="W221" s="157"/>
      <c r="Y221" s="156" t="s">
        <v>171</v>
      </c>
      <c r="Z221" s="38"/>
      <c r="AA221" s="157"/>
      <c r="AC221" s="156" t="s">
        <v>171</v>
      </c>
      <c r="AD221" s="38"/>
      <c r="AE221" s="157"/>
      <c r="AG221" s="156" t="s">
        <v>171</v>
      </c>
      <c r="AH221" s="38"/>
      <c r="AI221" s="157"/>
      <c r="AK221" s="156" t="s">
        <v>171</v>
      </c>
      <c r="AL221" s="38"/>
      <c r="AM221" s="157"/>
      <c r="AO221" s="156" t="s">
        <v>171</v>
      </c>
      <c r="AP221" s="38"/>
      <c r="AQ221" s="157"/>
      <c r="AS221" s="156" t="s">
        <v>171</v>
      </c>
      <c r="AT221" s="38"/>
      <c r="AU221" s="157"/>
      <c r="AW221" s="156" t="s">
        <v>171</v>
      </c>
      <c r="AX221" s="38"/>
      <c r="AY221" s="157"/>
      <c r="BA221" s="156" t="s">
        <v>171</v>
      </c>
      <c r="BB221" s="38"/>
      <c r="BC221" s="157"/>
      <c r="BE221" s="156" t="s">
        <v>171</v>
      </c>
      <c r="BF221" s="38"/>
      <c r="BG221" s="157"/>
      <c r="BI221" s="156" t="s">
        <v>171</v>
      </c>
      <c r="BJ221" s="38"/>
      <c r="BK221" s="157"/>
      <c r="BM221" s="156" t="s">
        <v>171</v>
      </c>
      <c r="BN221" s="38"/>
      <c r="BO221" s="157"/>
      <c r="BQ221" s="156" t="s">
        <v>171</v>
      </c>
      <c r="BR221" s="38"/>
      <c r="BS221" s="157"/>
      <c r="BU221" s="156" t="s">
        <v>171</v>
      </c>
      <c r="BV221" s="38"/>
      <c r="BW221" s="157"/>
      <c r="BY221" s="156" t="s">
        <v>171</v>
      </c>
      <c r="BZ221" s="38"/>
      <c r="CA221" s="157"/>
      <c r="CC221" s="156" t="s">
        <v>171</v>
      </c>
      <c r="CD221" s="38"/>
      <c r="CE221" s="157"/>
      <c r="CG221" s="156" t="s">
        <v>171</v>
      </c>
      <c r="CH221" s="38"/>
      <c r="CI221" s="157"/>
    </row>
    <row r="222" ht="8.25" customHeight="1">
      <c r="A222" s="166"/>
      <c r="E222" s="137"/>
      <c r="I222" s="137"/>
      <c r="M222" s="137"/>
      <c r="Q222" s="137"/>
      <c r="U222" s="137"/>
      <c r="Y222" s="137"/>
      <c r="AC222" s="137"/>
      <c r="AG222" s="137"/>
      <c r="AK222" s="137"/>
      <c r="AO222" s="137"/>
      <c r="AS222" s="137"/>
      <c r="AW222" s="137"/>
      <c r="BA222" s="137"/>
      <c r="BE222" s="137"/>
      <c r="BI222" s="137"/>
      <c r="BM222" s="137"/>
      <c r="BQ222" s="137"/>
      <c r="BU222" s="137"/>
      <c r="BY222" s="137"/>
      <c r="CC222" s="137"/>
      <c r="CG222" s="137"/>
    </row>
    <row r="223">
      <c r="A223" s="142" t="b">
        <v>0</v>
      </c>
      <c r="B223" s="143" t="s">
        <v>186</v>
      </c>
      <c r="C223" s="45"/>
      <c r="D223" s="172" t="s">
        <v>38</v>
      </c>
      <c r="E223" s="145" t="s">
        <v>167</v>
      </c>
      <c r="F223" s="146"/>
      <c r="G223" s="146"/>
      <c r="I223" s="145" t="s">
        <v>167</v>
      </c>
      <c r="J223" s="146"/>
      <c r="K223" s="146"/>
      <c r="M223" s="145" t="s">
        <v>167</v>
      </c>
      <c r="N223" s="146"/>
      <c r="O223" s="146"/>
      <c r="Q223" s="145" t="s">
        <v>167</v>
      </c>
      <c r="R223" s="146"/>
      <c r="S223" s="146"/>
      <c r="U223" s="145" t="s">
        <v>167</v>
      </c>
      <c r="V223" s="146"/>
      <c r="W223" s="146"/>
      <c r="Y223" s="145" t="s">
        <v>167</v>
      </c>
      <c r="Z223" s="146"/>
      <c r="AA223" s="146"/>
      <c r="AC223" s="145" t="s">
        <v>167</v>
      </c>
      <c r="AD223" s="146"/>
      <c r="AE223" s="146"/>
      <c r="AG223" s="145" t="s">
        <v>167</v>
      </c>
      <c r="AH223" s="146"/>
      <c r="AI223" s="146"/>
      <c r="AK223" s="145" t="s">
        <v>167</v>
      </c>
      <c r="AL223" s="146"/>
      <c r="AM223" s="146"/>
      <c r="AO223" s="145" t="s">
        <v>167</v>
      </c>
      <c r="AP223" s="146"/>
      <c r="AQ223" s="146"/>
      <c r="AS223" s="145" t="s">
        <v>167</v>
      </c>
      <c r="AT223" s="146"/>
      <c r="AU223" s="146"/>
      <c r="AW223" s="145" t="s">
        <v>167</v>
      </c>
      <c r="AX223" s="146"/>
      <c r="AY223" s="146"/>
      <c r="BA223" s="145" t="s">
        <v>167</v>
      </c>
      <c r="BB223" s="146"/>
      <c r="BC223" s="146"/>
      <c r="BE223" s="145" t="s">
        <v>167</v>
      </c>
      <c r="BF223" s="146"/>
      <c r="BG223" s="146"/>
      <c r="BI223" s="145" t="s">
        <v>167</v>
      </c>
      <c r="BJ223" s="146"/>
      <c r="BK223" s="146"/>
      <c r="BM223" s="145" t="s">
        <v>167</v>
      </c>
      <c r="BN223" s="146"/>
      <c r="BO223" s="146"/>
      <c r="BQ223" s="145" t="s">
        <v>167</v>
      </c>
      <c r="BR223" s="146"/>
      <c r="BS223" s="146"/>
      <c r="BU223" s="145" t="s">
        <v>167</v>
      </c>
      <c r="BV223" s="146"/>
      <c r="BW223" s="146"/>
      <c r="BY223" s="145" t="s">
        <v>167</v>
      </c>
      <c r="BZ223" s="146"/>
      <c r="CA223" s="146"/>
      <c r="CC223" s="145" t="s">
        <v>167</v>
      </c>
      <c r="CD223" s="146"/>
      <c r="CE223" s="146"/>
      <c r="CG223" s="145" t="s">
        <v>167</v>
      </c>
      <c r="CH223" s="146"/>
      <c r="CI223" s="146"/>
    </row>
    <row r="224">
      <c r="A224" s="147"/>
      <c r="B224" s="138"/>
      <c r="C224" s="52"/>
      <c r="D224" s="138"/>
      <c r="E224" s="139"/>
      <c r="F224" s="139"/>
      <c r="G224" s="139"/>
      <c r="I224" s="139"/>
      <c r="J224" s="139"/>
      <c r="K224" s="139"/>
      <c r="M224" s="139"/>
      <c r="N224" s="139"/>
      <c r="O224" s="139"/>
      <c r="Q224" s="139"/>
      <c r="R224" s="139"/>
      <c r="S224" s="139"/>
      <c r="U224" s="139"/>
      <c r="V224" s="139"/>
      <c r="W224" s="139"/>
      <c r="Y224" s="139"/>
      <c r="Z224" s="139"/>
      <c r="AA224" s="139"/>
      <c r="AC224" s="139"/>
      <c r="AD224" s="139"/>
      <c r="AE224" s="139"/>
      <c r="AG224" s="139"/>
      <c r="AH224" s="139"/>
      <c r="AI224" s="139"/>
      <c r="AK224" s="139"/>
      <c r="AL224" s="139"/>
      <c r="AM224" s="139"/>
      <c r="AO224" s="139"/>
      <c r="AP224" s="139"/>
      <c r="AQ224" s="139"/>
      <c r="AS224" s="139"/>
      <c r="AT224" s="139"/>
      <c r="AU224" s="139"/>
      <c r="AW224" s="139"/>
      <c r="AX224" s="139"/>
      <c r="AY224" s="139"/>
      <c r="BA224" s="139"/>
      <c r="BB224" s="139"/>
      <c r="BC224" s="139"/>
      <c r="BE224" s="139"/>
      <c r="BF224" s="139"/>
      <c r="BG224" s="139"/>
      <c r="BI224" s="139"/>
      <c r="BJ224" s="139"/>
      <c r="BK224" s="139"/>
      <c r="BM224" s="139"/>
      <c r="BN224" s="139"/>
      <c r="BO224" s="139"/>
      <c r="BQ224" s="139"/>
      <c r="BR224" s="139"/>
      <c r="BS224" s="139"/>
      <c r="BU224" s="139"/>
      <c r="BV224" s="139"/>
      <c r="BW224" s="139"/>
      <c r="BY224" s="139"/>
      <c r="BZ224" s="139"/>
      <c r="CA224" s="139"/>
      <c r="CC224" s="139"/>
      <c r="CD224" s="139"/>
      <c r="CE224" s="139"/>
      <c r="CG224" s="139"/>
      <c r="CH224" s="139"/>
      <c r="CI224" s="139"/>
    </row>
    <row r="225" ht="15.0" customHeight="1">
      <c r="A225" s="147"/>
      <c r="B225" s="138"/>
      <c r="C225" s="52"/>
      <c r="D225" s="138"/>
      <c r="E225" s="148"/>
      <c r="F225" s="149"/>
      <c r="G225" s="45"/>
      <c r="I225" s="148"/>
      <c r="J225" s="149"/>
      <c r="K225" s="45"/>
      <c r="M225" s="148"/>
      <c r="N225" s="149"/>
      <c r="O225" s="45"/>
      <c r="Q225" s="148"/>
      <c r="R225" s="149"/>
      <c r="S225" s="45"/>
      <c r="U225" s="148"/>
      <c r="V225" s="149"/>
      <c r="W225" s="45"/>
      <c r="Y225" s="148"/>
      <c r="Z225" s="149"/>
      <c r="AA225" s="45"/>
      <c r="AC225" s="148"/>
      <c r="AD225" s="149"/>
      <c r="AE225" s="45"/>
      <c r="AG225" s="148"/>
      <c r="AH225" s="149"/>
      <c r="AI225" s="45"/>
      <c r="AK225" s="148"/>
      <c r="AL225" s="149"/>
      <c r="AM225" s="45"/>
      <c r="AO225" s="148"/>
      <c r="AP225" s="149"/>
      <c r="AQ225" s="45"/>
      <c r="AS225" s="148"/>
      <c r="AT225" s="149"/>
      <c r="AU225" s="45"/>
      <c r="AW225" s="148"/>
      <c r="AX225" s="149"/>
      <c r="AY225" s="45"/>
      <c r="BA225" s="148"/>
      <c r="BB225" s="149"/>
      <c r="BC225" s="45"/>
      <c r="BE225" s="148"/>
      <c r="BF225" s="149"/>
      <c r="BG225" s="45"/>
      <c r="BI225" s="148"/>
      <c r="BJ225" s="149"/>
      <c r="BK225" s="45"/>
      <c r="BM225" s="148"/>
      <c r="BN225" s="149"/>
      <c r="BO225" s="45"/>
      <c r="BQ225" s="148"/>
      <c r="BR225" s="149"/>
      <c r="BS225" s="45"/>
      <c r="BU225" s="148"/>
      <c r="BV225" s="149"/>
      <c r="BW225" s="45"/>
      <c r="BY225" s="148"/>
      <c r="BZ225" s="149"/>
      <c r="CA225" s="45"/>
      <c r="CC225" s="148"/>
      <c r="CD225" s="149"/>
      <c r="CE225" s="45"/>
      <c r="CG225" s="148"/>
      <c r="CH225" s="149"/>
      <c r="CI225" s="45"/>
    </row>
    <row r="226" ht="15.0" customHeight="1">
      <c r="A226" s="147"/>
      <c r="B226" s="140"/>
      <c r="C226" s="57"/>
      <c r="D226" s="140"/>
      <c r="E226" s="138"/>
      <c r="G226" s="52"/>
      <c r="I226" s="138"/>
      <c r="K226" s="52"/>
      <c r="M226" s="138"/>
      <c r="O226" s="52"/>
      <c r="Q226" s="138"/>
      <c r="S226" s="52"/>
      <c r="U226" s="138"/>
      <c r="W226" s="52"/>
      <c r="Y226" s="138"/>
      <c r="AA226" s="52"/>
      <c r="AC226" s="138"/>
      <c r="AE226" s="52"/>
      <c r="AG226" s="138"/>
      <c r="AI226" s="52"/>
      <c r="AK226" s="138"/>
      <c r="AM226" s="52"/>
      <c r="AO226" s="138"/>
      <c r="AQ226" s="52"/>
      <c r="AS226" s="138"/>
      <c r="AU226" s="52"/>
      <c r="AW226" s="138"/>
      <c r="AY226" s="52"/>
      <c r="BA226" s="138"/>
      <c r="BC226" s="52"/>
      <c r="BE226" s="138"/>
      <c r="BG226" s="52"/>
      <c r="BI226" s="138"/>
      <c r="BK226" s="52"/>
      <c r="BM226" s="138"/>
      <c r="BO226" s="52"/>
      <c r="BQ226" s="138"/>
      <c r="BS226" s="52"/>
      <c r="BU226" s="138"/>
      <c r="BW226" s="52"/>
      <c r="BY226" s="138"/>
      <c r="CA226" s="52"/>
      <c r="CC226" s="138"/>
      <c r="CE226" s="52"/>
      <c r="CG226" s="138"/>
      <c r="CI226" s="52"/>
    </row>
    <row r="227" ht="22.5" customHeight="1">
      <c r="A227" s="147"/>
      <c r="B227" s="173" t="s">
        <v>168</v>
      </c>
      <c r="C227" s="174" t="s">
        <v>165</v>
      </c>
      <c r="D227" s="175" t="s">
        <v>164</v>
      </c>
      <c r="E227" s="140"/>
      <c r="F227" s="56"/>
      <c r="G227" s="57"/>
      <c r="I227" s="140"/>
      <c r="J227" s="56"/>
      <c r="K227" s="57"/>
      <c r="M227" s="140"/>
      <c r="N227" s="56"/>
      <c r="O227" s="57"/>
      <c r="Q227" s="140"/>
      <c r="R227" s="56"/>
      <c r="S227" s="57"/>
      <c r="U227" s="140"/>
      <c r="V227" s="56"/>
      <c r="W227" s="57"/>
      <c r="Y227" s="140"/>
      <c r="Z227" s="56"/>
      <c r="AA227" s="57"/>
      <c r="AC227" s="140"/>
      <c r="AD227" s="56"/>
      <c r="AE227" s="57"/>
      <c r="AG227" s="140"/>
      <c r="AH227" s="56"/>
      <c r="AI227" s="57"/>
      <c r="AK227" s="140"/>
      <c r="AL227" s="56"/>
      <c r="AM227" s="57"/>
      <c r="AO227" s="140"/>
      <c r="AP227" s="56"/>
      <c r="AQ227" s="57"/>
      <c r="AS227" s="140"/>
      <c r="AT227" s="56"/>
      <c r="AU227" s="57"/>
      <c r="AW227" s="140"/>
      <c r="AX227" s="56"/>
      <c r="AY227" s="57"/>
      <c r="BA227" s="140"/>
      <c r="BB227" s="56"/>
      <c r="BC227" s="57"/>
      <c r="BE227" s="140"/>
      <c r="BF227" s="56"/>
      <c r="BG227" s="57"/>
      <c r="BI227" s="140"/>
      <c r="BJ227" s="56"/>
      <c r="BK227" s="57"/>
      <c r="BM227" s="140"/>
      <c r="BN227" s="56"/>
      <c r="BO227" s="57"/>
      <c r="BQ227" s="140"/>
      <c r="BR227" s="56"/>
      <c r="BS227" s="57"/>
      <c r="BU227" s="140"/>
      <c r="BV227" s="56"/>
      <c r="BW227" s="57"/>
      <c r="BY227" s="140"/>
      <c r="BZ227" s="56"/>
      <c r="CA227" s="57"/>
      <c r="CC227" s="140"/>
      <c r="CD227" s="56"/>
      <c r="CE227" s="57"/>
      <c r="CG227" s="140"/>
      <c r="CH227" s="56"/>
      <c r="CI227" s="57"/>
    </row>
    <row r="228" ht="24.75" customHeight="1">
      <c r="A228" s="139"/>
      <c r="B228" s="161">
        <v>3.0</v>
      </c>
      <c r="C228" s="164" t="s">
        <v>169</v>
      </c>
      <c r="D228" s="155" t="s">
        <v>187</v>
      </c>
      <c r="E228" s="156" t="s">
        <v>171</v>
      </c>
      <c r="F228" s="38"/>
      <c r="G228" s="157"/>
      <c r="I228" s="156" t="s">
        <v>171</v>
      </c>
      <c r="J228" s="38"/>
      <c r="K228" s="157"/>
      <c r="M228" s="156" t="s">
        <v>171</v>
      </c>
      <c r="N228" s="38"/>
      <c r="O228" s="157"/>
      <c r="Q228" s="156" t="s">
        <v>171</v>
      </c>
      <c r="R228" s="38"/>
      <c r="S228" s="157"/>
      <c r="U228" s="156" t="s">
        <v>171</v>
      </c>
      <c r="V228" s="38"/>
      <c r="W228" s="157"/>
      <c r="Y228" s="156" t="s">
        <v>171</v>
      </c>
      <c r="Z228" s="38"/>
      <c r="AA228" s="157"/>
      <c r="AC228" s="156" t="s">
        <v>171</v>
      </c>
      <c r="AD228" s="38"/>
      <c r="AE228" s="157"/>
      <c r="AG228" s="156" t="s">
        <v>171</v>
      </c>
      <c r="AH228" s="38"/>
      <c r="AI228" s="157"/>
      <c r="AK228" s="156" t="s">
        <v>171</v>
      </c>
      <c r="AL228" s="38"/>
      <c r="AM228" s="157"/>
      <c r="AO228" s="156" t="s">
        <v>171</v>
      </c>
      <c r="AP228" s="38"/>
      <c r="AQ228" s="157"/>
      <c r="AS228" s="156" t="s">
        <v>171</v>
      </c>
      <c r="AT228" s="38"/>
      <c r="AU228" s="157"/>
      <c r="AW228" s="156" t="s">
        <v>171</v>
      </c>
      <c r="AX228" s="38"/>
      <c r="AY228" s="157"/>
      <c r="BA228" s="156" t="s">
        <v>171</v>
      </c>
      <c r="BB228" s="38"/>
      <c r="BC228" s="157"/>
      <c r="BE228" s="156" t="s">
        <v>171</v>
      </c>
      <c r="BF228" s="38"/>
      <c r="BG228" s="157"/>
      <c r="BI228" s="156" t="s">
        <v>171</v>
      </c>
      <c r="BJ228" s="38"/>
      <c r="BK228" s="157"/>
      <c r="BM228" s="156" t="s">
        <v>171</v>
      </c>
      <c r="BN228" s="38"/>
      <c r="BO228" s="157"/>
      <c r="BQ228" s="156" t="s">
        <v>171</v>
      </c>
      <c r="BR228" s="38"/>
      <c r="BS228" s="157"/>
      <c r="BU228" s="156" t="s">
        <v>171</v>
      </c>
      <c r="BV228" s="38"/>
      <c r="BW228" s="157"/>
      <c r="BY228" s="156" t="s">
        <v>171</v>
      </c>
      <c r="BZ228" s="38"/>
      <c r="CA228" s="157"/>
      <c r="CC228" s="156" t="s">
        <v>171</v>
      </c>
      <c r="CD228" s="38"/>
      <c r="CE228" s="157"/>
      <c r="CG228" s="156" t="s">
        <v>171</v>
      </c>
      <c r="CH228" s="38"/>
      <c r="CI228" s="157"/>
    </row>
    <row r="229" ht="8.25" customHeight="1">
      <c r="A229" s="166"/>
      <c r="E229" s="137"/>
      <c r="I229" s="137"/>
      <c r="M229" s="137"/>
      <c r="Q229" s="137"/>
      <c r="U229" s="137"/>
      <c r="Y229" s="137"/>
      <c r="AC229" s="137"/>
      <c r="AG229" s="137"/>
      <c r="AK229" s="137"/>
      <c r="AO229" s="137"/>
      <c r="AS229" s="137"/>
      <c r="AW229" s="137"/>
      <c r="BA229" s="137"/>
      <c r="BE229" s="137"/>
      <c r="BI229" s="137"/>
      <c r="BM229" s="137"/>
      <c r="BQ229" s="137"/>
      <c r="BU229" s="137"/>
      <c r="BY229" s="137"/>
      <c r="CC229" s="137"/>
      <c r="CG229" s="137"/>
    </row>
    <row r="230">
      <c r="A230" s="142" t="b">
        <v>0</v>
      </c>
      <c r="B230" s="160" t="s">
        <v>213</v>
      </c>
      <c r="C230" s="45"/>
      <c r="D230" s="172" t="s">
        <v>38</v>
      </c>
      <c r="E230" s="145" t="s">
        <v>167</v>
      </c>
      <c r="F230" s="146"/>
      <c r="G230" s="146"/>
      <c r="I230" s="145" t="s">
        <v>167</v>
      </c>
      <c r="J230" s="146"/>
      <c r="K230" s="146"/>
      <c r="M230" s="145" t="s">
        <v>167</v>
      </c>
      <c r="N230" s="146"/>
      <c r="O230" s="146"/>
      <c r="Q230" s="145" t="s">
        <v>167</v>
      </c>
      <c r="R230" s="146"/>
      <c r="S230" s="146"/>
      <c r="U230" s="145" t="s">
        <v>167</v>
      </c>
      <c r="V230" s="146"/>
      <c r="W230" s="146"/>
      <c r="Y230" s="145" t="s">
        <v>167</v>
      </c>
      <c r="Z230" s="146"/>
      <c r="AA230" s="146"/>
      <c r="AC230" s="145" t="s">
        <v>167</v>
      </c>
      <c r="AD230" s="146"/>
      <c r="AE230" s="146"/>
      <c r="AG230" s="145" t="s">
        <v>167</v>
      </c>
      <c r="AH230" s="146"/>
      <c r="AI230" s="146"/>
      <c r="AK230" s="145" t="s">
        <v>167</v>
      </c>
      <c r="AL230" s="146"/>
      <c r="AM230" s="146"/>
      <c r="AO230" s="145" t="s">
        <v>167</v>
      </c>
      <c r="AP230" s="146"/>
      <c r="AQ230" s="146"/>
      <c r="AS230" s="145" t="s">
        <v>167</v>
      </c>
      <c r="AT230" s="146"/>
      <c r="AU230" s="146"/>
      <c r="AW230" s="145" t="s">
        <v>167</v>
      </c>
      <c r="AX230" s="146"/>
      <c r="AY230" s="146"/>
      <c r="BA230" s="145" t="s">
        <v>167</v>
      </c>
      <c r="BB230" s="146"/>
      <c r="BC230" s="146"/>
      <c r="BE230" s="145" t="s">
        <v>167</v>
      </c>
      <c r="BF230" s="146"/>
      <c r="BG230" s="146"/>
      <c r="BI230" s="145" t="s">
        <v>167</v>
      </c>
      <c r="BJ230" s="146"/>
      <c r="BK230" s="146"/>
      <c r="BM230" s="145" t="s">
        <v>167</v>
      </c>
      <c r="BN230" s="146"/>
      <c r="BO230" s="146"/>
      <c r="BQ230" s="145" t="s">
        <v>167</v>
      </c>
      <c r="BR230" s="146"/>
      <c r="BS230" s="146"/>
      <c r="BU230" s="145" t="s">
        <v>167</v>
      </c>
      <c r="BV230" s="146"/>
      <c r="BW230" s="146"/>
      <c r="BY230" s="145" t="s">
        <v>167</v>
      </c>
      <c r="BZ230" s="146"/>
      <c r="CA230" s="146"/>
      <c r="CC230" s="145" t="s">
        <v>167</v>
      </c>
      <c r="CD230" s="146"/>
      <c r="CE230" s="146"/>
      <c r="CG230" s="145" t="s">
        <v>167</v>
      </c>
      <c r="CH230" s="146"/>
      <c r="CI230" s="146"/>
    </row>
    <row r="231">
      <c r="A231" s="147"/>
      <c r="B231" s="138"/>
      <c r="C231" s="52"/>
      <c r="D231" s="138"/>
      <c r="E231" s="139"/>
      <c r="F231" s="139"/>
      <c r="G231" s="139"/>
      <c r="I231" s="139"/>
      <c r="J231" s="139"/>
      <c r="K231" s="139"/>
      <c r="M231" s="139"/>
      <c r="N231" s="139"/>
      <c r="O231" s="139"/>
      <c r="Q231" s="139"/>
      <c r="R231" s="139"/>
      <c r="S231" s="139"/>
      <c r="U231" s="139"/>
      <c r="V231" s="139"/>
      <c r="W231" s="139"/>
      <c r="Y231" s="139"/>
      <c r="Z231" s="139"/>
      <c r="AA231" s="139"/>
      <c r="AC231" s="139"/>
      <c r="AD231" s="139"/>
      <c r="AE231" s="139"/>
      <c r="AG231" s="139"/>
      <c r="AH231" s="139"/>
      <c r="AI231" s="139"/>
      <c r="AK231" s="139"/>
      <c r="AL231" s="139"/>
      <c r="AM231" s="139"/>
      <c r="AO231" s="139"/>
      <c r="AP231" s="139"/>
      <c r="AQ231" s="139"/>
      <c r="AS231" s="139"/>
      <c r="AT231" s="139"/>
      <c r="AU231" s="139"/>
      <c r="AW231" s="139"/>
      <c r="AX231" s="139"/>
      <c r="AY231" s="139"/>
      <c r="BA231" s="139"/>
      <c r="BB231" s="139"/>
      <c r="BC231" s="139"/>
      <c r="BE231" s="139"/>
      <c r="BF231" s="139"/>
      <c r="BG231" s="139"/>
      <c r="BI231" s="139"/>
      <c r="BJ231" s="139"/>
      <c r="BK231" s="139"/>
      <c r="BM231" s="139"/>
      <c r="BN231" s="139"/>
      <c r="BO231" s="139"/>
      <c r="BQ231" s="139"/>
      <c r="BR231" s="139"/>
      <c r="BS231" s="139"/>
      <c r="BU231" s="139"/>
      <c r="BV231" s="139"/>
      <c r="BW231" s="139"/>
      <c r="BY231" s="139"/>
      <c r="BZ231" s="139"/>
      <c r="CA231" s="139"/>
      <c r="CC231" s="139"/>
      <c r="CD231" s="139"/>
      <c r="CE231" s="139"/>
      <c r="CG231" s="139"/>
      <c r="CH231" s="139"/>
      <c r="CI231" s="139"/>
    </row>
    <row r="232" ht="13.5" customHeight="1">
      <c r="A232" s="147"/>
      <c r="B232" s="138"/>
      <c r="C232" s="52"/>
      <c r="D232" s="138"/>
      <c r="E232" s="148"/>
      <c r="F232" s="149"/>
      <c r="G232" s="45"/>
      <c r="I232" s="148"/>
      <c r="J232" s="149"/>
      <c r="K232" s="45"/>
      <c r="M232" s="148"/>
      <c r="N232" s="149"/>
      <c r="O232" s="45"/>
      <c r="Q232" s="148"/>
      <c r="R232" s="149"/>
      <c r="S232" s="45"/>
      <c r="U232" s="148"/>
      <c r="V232" s="149"/>
      <c r="W232" s="45"/>
      <c r="Y232" s="148"/>
      <c r="Z232" s="149"/>
      <c r="AA232" s="45"/>
      <c r="AC232" s="148"/>
      <c r="AD232" s="149"/>
      <c r="AE232" s="45"/>
      <c r="AG232" s="148"/>
      <c r="AH232" s="149"/>
      <c r="AI232" s="45"/>
      <c r="AK232" s="148"/>
      <c r="AL232" s="149"/>
      <c r="AM232" s="45"/>
      <c r="AO232" s="148"/>
      <c r="AP232" s="149"/>
      <c r="AQ232" s="45"/>
      <c r="AS232" s="148"/>
      <c r="AT232" s="149"/>
      <c r="AU232" s="45"/>
      <c r="AW232" s="148"/>
      <c r="AX232" s="149"/>
      <c r="AY232" s="45"/>
      <c r="BA232" s="148"/>
      <c r="BB232" s="149"/>
      <c r="BC232" s="45"/>
      <c r="BE232" s="148"/>
      <c r="BF232" s="149"/>
      <c r="BG232" s="45"/>
      <c r="BI232" s="148"/>
      <c r="BJ232" s="149"/>
      <c r="BK232" s="45"/>
      <c r="BM232" s="148"/>
      <c r="BN232" s="149"/>
      <c r="BO232" s="45"/>
      <c r="BQ232" s="148"/>
      <c r="BR232" s="149"/>
      <c r="BS232" s="45"/>
      <c r="BU232" s="148"/>
      <c r="BV232" s="149"/>
      <c r="BW232" s="45"/>
      <c r="BY232" s="148"/>
      <c r="BZ232" s="149"/>
      <c r="CA232" s="45"/>
      <c r="CC232" s="148"/>
      <c r="CD232" s="149"/>
      <c r="CE232" s="45"/>
      <c r="CG232" s="148"/>
      <c r="CH232" s="149"/>
      <c r="CI232" s="45"/>
    </row>
    <row r="233" ht="13.5" customHeight="1">
      <c r="A233" s="147"/>
      <c r="B233" s="140"/>
      <c r="C233" s="57"/>
      <c r="D233" s="140"/>
      <c r="E233" s="138"/>
      <c r="G233" s="52"/>
      <c r="I233" s="138"/>
      <c r="K233" s="52"/>
      <c r="M233" s="138"/>
      <c r="O233" s="52"/>
      <c r="Q233" s="138"/>
      <c r="S233" s="52"/>
      <c r="U233" s="138"/>
      <c r="W233" s="52"/>
      <c r="Y233" s="138"/>
      <c r="AA233" s="52"/>
      <c r="AC233" s="138"/>
      <c r="AE233" s="52"/>
      <c r="AG233" s="138"/>
      <c r="AI233" s="52"/>
      <c r="AK233" s="138"/>
      <c r="AM233" s="52"/>
      <c r="AO233" s="138"/>
      <c r="AQ233" s="52"/>
      <c r="AS233" s="138"/>
      <c r="AU233" s="52"/>
      <c r="AW233" s="138"/>
      <c r="AY233" s="52"/>
      <c r="BA233" s="138"/>
      <c r="BC233" s="52"/>
      <c r="BE233" s="138"/>
      <c r="BG233" s="52"/>
      <c r="BI233" s="138"/>
      <c r="BK233" s="52"/>
      <c r="BM233" s="138"/>
      <c r="BO233" s="52"/>
      <c r="BQ233" s="138"/>
      <c r="BS233" s="52"/>
      <c r="BU233" s="138"/>
      <c r="BW233" s="52"/>
      <c r="BY233" s="138"/>
      <c r="CA233" s="52"/>
      <c r="CC233" s="138"/>
      <c r="CE233" s="52"/>
      <c r="CG233" s="138"/>
      <c r="CI233" s="52"/>
    </row>
    <row r="234" ht="25.5" customHeight="1">
      <c r="A234" s="147"/>
      <c r="B234" s="173" t="s">
        <v>168</v>
      </c>
      <c r="C234" s="174" t="s">
        <v>165</v>
      </c>
      <c r="D234" s="175" t="s">
        <v>164</v>
      </c>
      <c r="E234" s="140"/>
      <c r="F234" s="56"/>
      <c r="G234" s="57"/>
      <c r="I234" s="140"/>
      <c r="J234" s="56"/>
      <c r="K234" s="57"/>
      <c r="M234" s="140"/>
      <c r="N234" s="56"/>
      <c r="O234" s="57"/>
      <c r="Q234" s="140"/>
      <c r="R234" s="56"/>
      <c r="S234" s="57"/>
      <c r="U234" s="140"/>
      <c r="V234" s="56"/>
      <c r="W234" s="57"/>
      <c r="Y234" s="140"/>
      <c r="Z234" s="56"/>
      <c r="AA234" s="57"/>
      <c r="AC234" s="140"/>
      <c r="AD234" s="56"/>
      <c r="AE234" s="57"/>
      <c r="AG234" s="140"/>
      <c r="AH234" s="56"/>
      <c r="AI234" s="57"/>
      <c r="AK234" s="140"/>
      <c r="AL234" s="56"/>
      <c r="AM234" s="57"/>
      <c r="AO234" s="140"/>
      <c r="AP234" s="56"/>
      <c r="AQ234" s="57"/>
      <c r="AS234" s="140"/>
      <c r="AT234" s="56"/>
      <c r="AU234" s="57"/>
      <c r="AW234" s="140"/>
      <c r="AX234" s="56"/>
      <c r="AY234" s="57"/>
      <c r="BA234" s="140"/>
      <c r="BB234" s="56"/>
      <c r="BC234" s="57"/>
      <c r="BE234" s="140"/>
      <c r="BF234" s="56"/>
      <c r="BG234" s="57"/>
      <c r="BI234" s="140"/>
      <c r="BJ234" s="56"/>
      <c r="BK234" s="57"/>
      <c r="BM234" s="140"/>
      <c r="BN234" s="56"/>
      <c r="BO234" s="57"/>
      <c r="BQ234" s="140"/>
      <c r="BR234" s="56"/>
      <c r="BS234" s="57"/>
      <c r="BU234" s="140"/>
      <c r="BV234" s="56"/>
      <c r="BW234" s="57"/>
      <c r="BY234" s="140"/>
      <c r="BZ234" s="56"/>
      <c r="CA234" s="57"/>
      <c r="CC234" s="140"/>
      <c r="CD234" s="56"/>
      <c r="CE234" s="57"/>
      <c r="CG234" s="140"/>
      <c r="CH234" s="56"/>
      <c r="CI234" s="57"/>
    </row>
    <row r="235" ht="26.25" customHeight="1">
      <c r="A235" s="139"/>
      <c r="B235" s="153">
        <v>3.0</v>
      </c>
      <c r="C235" s="153" t="s">
        <v>214</v>
      </c>
      <c r="D235" s="155" t="s">
        <v>174</v>
      </c>
      <c r="E235" s="156" t="s">
        <v>171</v>
      </c>
      <c r="F235" s="38"/>
      <c r="G235" s="157"/>
      <c r="I235" s="156" t="s">
        <v>171</v>
      </c>
      <c r="J235" s="38"/>
      <c r="K235" s="157"/>
      <c r="M235" s="156" t="s">
        <v>171</v>
      </c>
      <c r="N235" s="38"/>
      <c r="O235" s="157"/>
      <c r="Q235" s="156" t="s">
        <v>171</v>
      </c>
      <c r="R235" s="38"/>
      <c r="S235" s="157"/>
      <c r="U235" s="156" t="s">
        <v>171</v>
      </c>
      <c r="V235" s="38"/>
      <c r="W235" s="157"/>
      <c r="Y235" s="156" t="s">
        <v>171</v>
      </c>
      <c r="Z235" s="38"/>
      <c r="AA235" s="157"/>
      <c r="AC235" s="156" t="s">
        <v>171</v>
      </c>
      <c r="AD235" s="38"/>
      <c r="AE235" s="157"/>
      <c r="AG235" s="156" t="s">
        <v>171</v>
      </c>
      <c r="AH235" s="38"/>
      <c r="AI235" s="157"/>
      <c r="AK235" s="156" t="s">
        <v>171</v>
      </c>
      <c r="AL235" s="38"/>
      <c r="AM235" s="157"/>
      <c r="AO235" s="156" t="s">
        <v>171</v>
      </c>
      <c r="AP235" s="38"/>
      <c r="AQ235" s="157"/>
      <c r="AS235" s="156" t="s">
        <v>171</v>
      </c>
      <c r="AT235" s="38"/>
      <c r="AU235" s="157"/>
      <c r="AW235" s="156" t="s">
        <v>171</v>
      </c>
      <c r="AX235" s="38"/>
      <c r="AY235" s="157"/>
      <c r="BA235" s="156" t="s">
        <v>171</v>
      </c>
      <c r="BB235" s="38"/>
      <c r="BC235" s="157"/>
      <c r="BE235" s="156" t="s">
        <v>171</v>
      </c>
      <c r="BF235" s="38"/>
      <c r="BG235" s="157"/>
      <c r="BI235" s="156" t="s">
        <v>171</v>
      </c>
      <c r="BJ235" s="38"/>
      <c r="BK235" s="157"/>
      <c r="BM235" s="156" t="s">
        <v>171</v>
      </c>
      <c r="BN235" s="38"/>
      <c r="BO235" s="157"/>
      <c r="BQ235" s="156" t="s">
        <v>171</v>
      </c>
      <c r="BR235" s="38"/>
      <c r="BS235" s="157"/>
      <c r="BU235" s="156" t="s">
        <v>171</v>
      </c>
      <c r="BV235" s="38"/>
      <c r="BW235" s="157"/>
      <c r="BY235" s="156" t="s">
        <v>171</v>
      </c>
      <c r="BZ235" s="38"/>
      <c r="CA235" s="157"/>
      <c r="CC235" s="156" t="s">
        <v>171</v>
      </c>
      <c r="CD235" s="38"/>
      <c r="CE235" s="157"/>
      <c r="CG235" s="156" t="s">
        <v>171</v>
      </c>
      <c r="CH235" s="38"/>
      <c r="CI235" s="157"/>
    </row>
    <row r="236" ht="7.5" customHeight="1">
      <c r="A236" s="166"/>
      <c r="E236" s="137"/>
      <c r="I236" s="137"/>
      <c r="M236" s="137"/>
      <c r="Q236" s="137"/>
      <c r="U236" s="137"/>
      <c r="Y236" s="137"/>
      <c r="AC236" s="137"/>
      <c r="AG236" s="137"/>
      <c r="AK236" s="137"/>
      <c r="AO236" s="137"/>
      <c r="AS236" s="137"/>
      <c r="AW236" s="137"/>
      <c r="BA236" s="137"/>
      <c r="BE236" s="137"/>
      <c r="BI236" s="137"/>
      <c r="BM236" s="137"/>
      <c r="BQ236" s="137"/>
      <c r="BU236" s="137"/>
      <c r="BY236" s="137"/>
      <c r="CC236" s="137"/>
      <c r="CG236" s="137"/>
    </row>
    <row r="237">
      <c r="A237" s="142" t="b">
        <v>0</v>
      </c>
      <c r="B237" s="143" t="s">
        <v>215</v>
      </c>
      <c r="C237" s="45"/>
      <c r="D237" s="172" t="s">
        <v>38</v>
      </c>
      <c r="E237" s="145" t="s">
        <v>167</v>
      </c>
      <c r="F237" s="146"/>
      <c r="G237" s="146"/>
      <c r="I237" s="145" t="s">
        <v>167</v>
      </c>
      <c r="J237" s="146"/>
      <c r="K237" s="146"/>
      <c r="M237" s="145" t="s">
        <v>167</v>
      </c>
      <c r="N237" s="146"/>
      <c r="O237" s="146"/>
      <c r="Q237" s="145" t="s">
        <v>167</v>
      </c>
      <c r="R237" s="146"/>
      <c r="S237" s="146"/>
      <c r="U237" s="145" t="s">
        <v>167</v>
      </c>
      <c r="V237" s="146"/>
      <c r="W237" s="146"/>
      <c r="Y237" s="145" t="s">
        <v>167</v>
      </c>
      <c r="Z237" s="146"/>
      <c r="AA237" s="146"/>
      <c r="AC237" s="145" t="s">
        <v>167</v>
      </c>
      <c r="AD237" s="146"/>
      <c r="AE237" s="146"/>
      <c r="AG237" s="145" t="s">
        <v>167</v>
      </c>
      <c r="AH237" s="146"/>
      <c r="AI237" s="146"/>
      <c r="AK237" s="145" t="s">
        <v>167</v>
      </c>
      <c r="AL237" s="146"/>
      <c r="AM237" s="146"/>
      <c r="AO237" s="145" t="s">
        <v>167</v>
      </c>
      <c r="AP237" s="146"/>
      <c r="AQ237" s="146"/>
      <c r="AS237" s="145" t="s">
        <v>167</v>
      </c>
      <c r="AT237" s="146"/>
      <c r="AU237" s="146"/>
      <c r="AW237" s="145" t="s">
        <v>167</v>
      </c>
      <c r="AX237" s="146"/>
      <c r="AY237" s="146"/>
      <c r="BA237" s="145" t="s">
        <v>167</v>
      </c>
      <c r="BB237" s="146"/>
      <c r="BC237" s="146"/>
      <c r="BE237" s="145" t="s">
        <v>167</v>
      </c>
      <c r="BF237" s="146"/>
      <c r="BG237" s="146"/>
      <c r="BI237" s="145" t="s">
        <v>167</v>
      </c>
      <c r="BJ237" s="146"/>
      <c r="BK237" s="146"/>
      <c r="BM237" s="145" t="s">
        <v>167</v>
      </c>
      <c r="BN237" s="146"/>
      <c r="BO237" s="146"/>
      <c r="BQ237" s="145" t="s">
        <v>167</v>
      </c>
      <c r="BR237" s="146"/>
      <c r="BS237" s="146"/>
      <c r="BU237" s="145" t="s">
        <v>167</v>
      </c>
      <c r="BV237" s="146"/>
      <c r="BW237" s="146"/>
      <c r="BY237" s="145" t="s">
        <v>167</v>
      </c>
      <c r="BZ237" s="146"/>
      <c r="CA237" s="146"/>
      <c r="CC237" s="145" t="s">
        <v>167</v>
      </c>
      <c r="CD237" s="146"/>
      <c r="CE237" s="146"/>
      <c r="CG237" s="145" t="s">
        <v>167</v>
      </c>
      <c r="CH237" s="146"/>
      <c r="CI237" s="146"/>
    </row>
    <row r="238">
      <c r="A238" s="147"/>
      <c r="B238" s="138"/>
      <c r="C238" s="52"/>
      <c r="D238" s="138"/>
      <c r="E238" s="139"/>
      <c r="F238" s="139"/>
      <c r="G238" s="139"/>
      <c r="I238" s="139"/>
      <c r="J238" s="139"/>
      <c r="K238" s="139"/>
      <c r="M238" s="139"/>
      <c r="N238" s="139"/>
      <c r="O238" s="139"/>
      <c r="Q238" s="139"/>
      <c r="R238" s="139"/>
      <c r="S238" s="139"/>
      <c r="U238" s="139"/>
      <c r="V238" s="139"/>
      <c r="W238" s="139"/>
      <c r="Y238" s="139"/>
      <c r="Z238" s="139"/>
      <c r="AA238" s="139"/>
      <c r="AC238" s="139"/>
      <c r="AD238" s="139"/>
      <c r="AE238" s="139"/>
      <c r="AG238" s="139"/>
      <c r="AH238" s="139"/>
      <c r="AI238" s="139"/>
      <c r="AK238" s="139"/>
      <c r="AL238" s="139"/>
      <c r="AM238" s="139"/>
      <c r="AO238" s="139"/>
      <c r="AP238" s="139"/>
      <c r="AQ238" s="139"/>
      <c r="AS238" s="139"/>
      <c r="AT238" s="139"/>
      <c r="AU238" s="139"/>
      <c r="AW238" s="139"/>
      <c r="AX238" s="139"/>
      <c r="AY238" s="139"/>
      <c r="BA238" s="139"/>
      <c r="BB238" s="139"/>
      <c r="BC238" s="139"/>
      <c r="BE238" s="139"/>
      <c r="BF238" s="139"/>
      <c r="BG238" s="139"/>
      <c r="BI238" s="139"/>
      <c r="BJ238" s="139"/>
      <c r="BK238" s="139"/>
      <c r="BM238" s="139"/>
      <c r="BN238" s="139"/>
      <c r="BO238" s="139"/>
      <c r="BQ238" s="139"/>
      <c r="BR238" s="139"/>
      <c r="BS238" s="139"/>
      <c r="BU238" s="139"/>
      <c r="BV238" s="139"/>
      <c r="BW238" s="139"/>
      <c r="BY238" s="139"/>
      <c r="BZ238" s="139"/>
      <c r="CA238" s="139"/>
      <c r="CC238" s="139"/>
      <c r="CD238" s="139"/>
      <c r="CE238" s="139"/>
      <c r="CG238" s="139"/>
      <c r="CH238" s="139"/>
      <c r="CI238" s="139"/>
    </row>
    <row r="239" ht="15.0" customHeight="1">
      <c r="A239" s="147"/>
      <c r="B239" s="138"/>
      <c r="C239" s="52"/>
      <c r="D239" s="138"/>
      <c r="E239" s="148"/>
      <c r="F239" s="149"/>
      <c r="G239" s="45"/>
      <c r="I239" s="148"/>
      <c r="J239" s="149"/>
      <c r="K239" s="45"/>
      <c r="M239" s="148"/>
      <c r="N239" s="149"/>
      <c r="O239" s="45"/>
      <c r="Q239" s="148"/>
      <c r="R239" s="149"/>
      <c r="S239" s="45"/>
      <c r="U239" s="148"/>
      <c r="V239" s="149"/>
      <c r="W239" s="45"/>
      <c r="Y239" s="148"/>
      <c r="Z239" s="149"/>
      <c r="AA239" s="45"/>
      <c r="AC239" s="148"/>
      <c r="AD239" s="149"/>
      <c r="AE239" s="45"/>
      <c r="AG239" s="148"/>
      <c r="AH239" s="149"/>
      <c r="AI239" s="45"/>
      <c r="AK239" s="148"/>
      <c r="AL239" s="149"/>
      <c r="AM239" s="45"/>
      <c r="AO239" s="148"/>
      <c r="AP239" s="149"/>
      <c r="AQ239" s="45"/>
      <c r="AS239" s="148"/>
      <c r="AT239" s="149"/>
      <c r="AU239" s="45"/>
      <c r="AW239" s="148"/>
      <c r="AX239" s="149"/>
      <c r="AY239" s="45"/>
      <c r="BA239" s="148"/>
      <c r="BB239" s="149"/>
      <c r="BC239" s="45"/>
      <c r="BE239" s="148"/>
      <c r="BF239" s="149"/>
      <c r="BG239" s="45"/>
      <c r="BI239" s="148"/>
      <c r="BJ239" s="149"/>
      <c r="BK239" s="45"/>
      <c r="BM239" s="148"/>
      <c r="BN239" s="149"/>
      <c r="BO239" s="45"/>
      <c r="BQ239" s="148"/>
      <c r="BR239" s="149"/>
      <c r="BS239" s="45"/>
      <c r="BU239" s="148"/>
      <c r="BV239" s="149"/>
      <c r="BW239" s="45"/>
      <c r="BY239" s="148"/>
      <c r="BZ239" s="149"/>
      <c r="CA239" s="45"/>
      <c r="CC239" s="148"/>
      <c r="CD239" s="149"/>
      <c r="CE239" s="45"/>
      <c r="CG239" s="148"/>
      <c r="CH239" s="149"/>
      <c r="CI239" s="45"/>
    </row>
    <row r="240" ht="15.0" customHeight="1">
      <c r="A240" s="147"/>
      <c r="B240" s="140"/>
      <c r="C240" s="57"/>
      <c r="D240" s="140"/>
      <c r="E240" s="138"/>
      <c r="G240" s="52"/>
      <c r="I240" s="138"/>
      <c r="K240" s="52"/>
      <c r="M240" s="138"/>
      <c r="O240" s="52"/>
      <c r="Q240" s="138"/>
      <c r="S240" s="52"/>
      <c r="U240" s="138"/>
      <c r="W240" s="52"/>
      <c r="Y240" s="138"/>
      <c r="AA240" s="52"/>
      <c r="AC240" s="138"/>
      <c r="AE240" s="52"/>
      <c r="AG240" s="138"/>
      <c r="AI240" s="52"/>
      <c r="AK240" s="138"/>
      <c r="AM240" s="52"/>
      <c r="AO240" s="138"/>
      <c r="AQ240" s="52"/>
      <c r="AS240" s="138"/>
      <c r="AU240" s="52"/>
      <c r="AW240" s="138"/>
      <c r="AY240" s="52"/>
      <c r="BA240" s="138"/>
      <c r="BC240" s="52"/>
      <c r="BE240" s="138"/>
      <c r="BG240" s="52"/>
      <c r="BI240" s="138"/>
      <c r="BK240" s="52"/>
      <c r="BM240" s="138"/>
      <c r="BO240" s="52"/>
      <c r="BQ240" s="138"/>
      <c r="BS240" s="52"/>
      <c r="BU240" s="138"/>
      <c r="BW240" s="52"/>
      <c r="BY240" s="138"/>
      <c r="CA240" s="52"/>
      <c r="CC240" s="138"/>
      <c r="CE240" s="52"/>
      <c r="CG240" s="138"/>
      <c r="CI240" s="52"/>
    </row>
    <row r="241" ht="24.75" customHeight="1">
      <c r="A241" s="147"/>
      <c r="B241" s="173" t="s">
        <v>168</v>
      </c>
      <c r="C241" s="174" t="s">
        <v>165</v>
      </c>
      <c r="D241" s="175" t="s">
        <v>164</v>
      </c>
      <c r="E241" s="140"/>
      <c r="F241" s="56"/>
      <c r="G241" s="57"/>
      <c r="I241" s="140"/>
      <c r="J241" s="56"/>
      <c r="K241" s="57"/>
      <c r="M241" s="140"/>
      <c r="N241" s="56"/>
      <c r="O241" s="57"/>
      <c r="Q241" s="140"/>
      <c r="R241" s="56"/>
      <c r="S241" s="57"/>
      <c r="U241" s="140"/>
      <c r="V241" s="56"/>
      <c r="W241" s="57"/>
      <c r="Y241" s="140"/>
      <c r="Z241" s="56"/>
      <c r="AA241" s="57"/>
      <c r="AC241" s="140"/>
      <c r="AD241" s="56"/>
      <c r="AE241" s="57"/>
      <c r="AG241" s="140"/>
      <c r="AH241" s="56"/>
      <c r="AI241" s="57"/>
      <c r="AK241" s="140"/>
      <c r="AL241" s="56"/>
      <c r="AM241" s="57"/>
      <c r="AO241" s="140"/>
      <c r="AP241" s="56"/>
      <c r="AQ241" s="57"/>
      <c r="AS241" s="140"/>
      <c r="AT241" s="56"/>
      <c r="AU241" s="57"/>
      <c r="AW241" s="140"/>
      <c r="AX241" s="56"/>
      <c r="AY241" s="57"/>
      <c r="BA241" s="140"/>
      <c r="BB241" s="56"/>
      <c r="BC241" s="57"/>
      <c r="BE241" s="140"/>
      <c r="BF241" s="56"/>
      <c r="BG241" s="57"/>
      <c r="BI241" s="140"/>
      <c r="BJ241" s="56"/>
      <c r="BK241" s="57"/>
      <c r="BM241" s="140"/>
      <c r="BN241" s="56"/>
      <c r="BO241" s="57"/>
      <c r="BQ241" s="140"/>
      <c r="BR241" s="56"/>
      <c r="BS241" s="57"/>
      <c r="BU241" s="140"/>
      <c r="BV241" s="56"/>
      <c r="BW241" s="57"/>
      <c r="BY241" s="140"/>
      <c r="BZ241" s="56"/>
      <c r="CA241" s="57"/>
      <c r="CC241" s="140"/>
      <c r="CD241" s="56"/>
      <c r="CE241" s="57"/>
      <c r="CG241" s="140"/>
      <c r="CH241" s="56"/>
      <c r="CI241" s="57"/>
    </row>
    <row r="242" ht="27.75" customHeight="1">
      <c r="A242" s="139"/>
      <c r="B242" s="153">
        <v>3.0</v>
      </c>
      <c r="C242" s="177">
        <v>46007.0</v>
      </c>
      <c r="D242" s="155" t="s">
        <v>174</v>
      </c>
      <c r="E242" s="156" t="s">
        <v>171</v>
      </c>
      <c r="F242" s="38"/>
      <c r="G242" s="157"/>
      <c r="I242" s="156" t="s">
        <v>171</v>
      </c>
      <c r="J242" s="38"/>
      <c r="K242" s="157"/>
      <c r="M242" s="156" t="s">
        <v>171</v>
      </c>
      <c r="N242" s="38"/>
      <c r="O242" s="157"/>
      <c r="Q242" s="156" t="s">
        <v>171</v>
      </c>
      <c r="R242" s="38"/>
      <c r="S242" s="157"/>
      <c r="U242" s="156" t="s">
        <v>171</v>
      </c>
      <c r="V242" s="38"/>
      <c r="W242" s="157"/>
      <c r="Y242" s="156" t="s">
        <v>171</v>
      </c>
      <c r="Z242" s="38"/>
      <c r="AA242" s="157"/>
      <c r="AC242" s="156" t="s">
        <v>171</v>
      </c>
      <c r="AD242" s="38"/>
      <c r="AE242" s="157"/>
      <c r="AG242" s="156" t="s">
        <v>171</v>
      </c>
      <c r="AH242" s="38"/>
      <c r="AI242" s="157"/>
      <c r="AK242" s="156" t="s">
        <v>171</v>
      </c>
      <c r="AL242" s="38"/>
      <c r="AM242" s="157"/>
      <c r="AO242" s="156" t="s">
        <v>171</v>
      </c>
      <c r="AP242" s="38"/>
      <c r="AQ242" s="157"/>
      <c r="AS242" s="156" t="s">
        <v>171</v>
      </c>
      <c r="AT242" s="38"/>
      <c r="AU242" s="157"/>
      <c r="AW242" s="156" t="s">
        <v>171</v>
      </c>
      <c r="AX242" s="38"/>
      <c r="AY242" s="157"/>
      <c r="BA242" s="156" t="s">
        <v>171</v>
      </c>
      <c r="BB242" s="38"/>
      <c r="BC242" s="157"/>
      <c r="BE242" s="156" t="s">
        <v>171</v>
      </c>
      <c r="BF242" s="38"/>
      <c r="BG242" s="157"/>
      <c r="BI242" s="156" t="s">
        <v>171</v>
      </c>
      <c r="BJ242" s="38"/>
      <c r="BK242" s="157"/>
      <c r="BM242" s="156" t="s">
        <v>171</v>
      </c>
      <c r="BN242" s="38"/>
      <c r="BO242" s="157"/>
      <c r="BQ242" s="156" t="s">
        <v>171</v>
      </c>
      <c r="BR242" s="38"/>
      <c r="BS242" s="157"/>
      <c r="BU242" s="156" t="s">
        <v>171</v>
      </c>
      <c r="BV242" s="38"/>
      <c r="BW242" s="157"/>
      <c r="BY242" s="156" t="s">
        <v>171</v>
      </c>
      <c r="BZ242" s="38"/>
      <c r="CA242" s="157"/>
      <c r="CC242" s="156" t="s">
        <v>171</v>
      </c>
      <c r="CD242" s="38"/>
      <c r="CE242" s="157"/>
      <c r="CG242" s="156" t="s">
        <v>171</v>
      </c>
      <c r="CH242" s="38"/>
      <c r="CI242" s="157"/>
    </row>
    <row r="243">
      <c r="A243" s="169"/>
      <c r="E243" s="170"/>
      <c r="F243" s="159"/>
      <c r="G243" s="159"/>
      <c r="H243" s="159"/>
      <c r="I243" s="159"/>
      <c r="J243" s="159"/>
      <c r="K243" s="159"/>
      <c r="L243" s="159"/>
      <c r="M243" s="159"/>
      <c r="N243" s="159"/>
      <c r="O243" s="159"/>
      <c r="P243" s="159"/>
      <c r="Q243" s="159"/>
      <c r="R243" s="159"/>
      <c r="S243" s="159"/>
      <c r="T243" s="159"/>
      <c r="U243" s="159"/>
      <c r="V243" s="159"/>
      <c r="W243" s="159"/>
      <c r="X243" s="159"/>
      <c r="Y243" s="159"/>
      <c r="Z243" s="159"/>
      <c r="AA243" s="159"/>
      <c r="AB243" s="159"/>
      <c r="AC243" s="159"/>
      <c r="AD243" s="159"/>
      <c r="AE243" s="159"/>
      <c r="AF243" s="159"/>
      <c r="AG243" s="159"/>
      <c r="AH243" s="159"/>
      <c r="AI243" s="159"/>
      <c r="AJ243" s="159"/>
      <c r="AK243" s="159"/>
      <c r="AL243" s="159"/>
      <c r="AM243" s="159"/>
      <c r="AN243" s="159"/>
      <c r="AO243" s="159"/>
      <c r="AP243" s="159"/>
      <c r="AQ243" s="159"/>
      <c r="AR243" s="159"/>
      <c r="AS243" s="159"/>
      <c r="AT243" s="159"/>
      <c r="AU243" s="159"/>
      <c r="AV243" s="159"/>
      <c r="AW243" s="159"/>
      <c r="AX243" s="159"/>
      <c r="AY243" s="159"/>
      <c r="AZ243" s="159"/>
      <c r="BA243" s="159"/>
      <c r="BB243" s="159"/>
      <c r="BC243" s="159"/>
      <c r="BD243" s="159"/>
      <c r="BE243" s="159"/>
      <c r="BF243" s="159"/>
      <c r="BG243" s="159"/>
      <c r="BH243" s="159"/>
      <c r="BI243" s="159"/>
      <c r="BJ243" s="159"/>
      <c r="BK243" s="159"/>
      <c r="BL243" s="159"/>
      <c r="BM243" s="159"/>
      <c r="BN243" s="159"/>
      <c r="BO243" s="159"/>
      <c r="BP243" s="159"/>
      <c r="BQ243" s="159"/>
      <c r="BR243" s="159"/>
      <c r="BS243" s="159"/>
      <c r="BT243" s="159"/>
      <c r="BU243" s="159"/>
      <c r="BV243" s="159"/>
      <c r="BW243" s="159"/>
      <c r="BX243" s="159"/>
      <c r="BY243" s="159"/>
      <c r="BZ243" s="159"/>
      <c r="CA243" s="159"/>
      <c r="CB243" s="159"/>
      <c r="CC243" s="159"/>
      <c r="CD243" s="159"/>
      <c r="CE243" s="159"/>
      <c r="CF243" s="159"/>
      <c r="CG243" s="159"/>
      <c r="CH243" s="159"/>
      <c r="CI243" s="38"/>
    </row>
    <row r="244">
      <c r="A244" s="130" t="s">
        <v>139</v>
      </c>
      <c r="B244" s="131" t="s">
        <v>216</v>
      </c>
      <c r="C244" s="45"/>
      <c r="D244" s="132" t="s">
        <v>141</v>
      </c>
      <c r="E244" s="133" t="s">
        <v>142</v>
      </c>
      <c r="F244" s="134" t="s">
        <v>143</v>
      </c>
      <c r="G244" s="45"/>
      <c r="H244" s="171"/>
      <c r="I244" s="133" t="s">
        <v>142</v>
      </c>
      <c r="J244" s="134" t="s">
        <v>144</v>
      </c>
      <c r="K244" s="45"/>
      <c r="L244" s="135"/>
      <c r="M244" s="133" t="s">
        <v>142</v>
      </c>
      <c r="N244" s="136" t="s">
        <v>145</v>
      </c>
      <c r="O244" s="45"/>
      <c r="P244" s="137"/>
      <c r="Q244" s="133" t="s">
        <v>142</v>
      </c>
      <c r="R244" s="136" t="s">
        <v>146</v>
      </c>
      <c r="S244" s="45"/>
      <c r="T244" s="137"/>
      <c r="U244" s="133" t="s">
        <v>142</v>
      </c>
      <c r="V244" s="136" t="s">
        <v>147</v>
      </c>
      <c r="W244" s="45"/>
      <c r="X244" s="137"/>
      <c r="Y244" s="133" t="s">
        <v>142</v>
      </c>
      <c r="Z244" s="136" t="s">
        <v>148</v>
      </c>
      <c r="AA244" s="45"/>
      <c r="AB244" s="137"/>
      <c r="AC244" s="133" t="s">
        <v>142</v>
      </c>
      <c r="AD244" s="136" t="s">
        <v>149</v>
      </c>
      <c r="AE244" s="45"/>
      <c r="AF244" s="137"/>
      <c r="AG244" s="133" t="s">
        <v>142</v>
      </c>
      <c r="AH244" s="136" t="s">
        <v>150</v>
      </c>
      <c r="AI244" s="45"/>
      <c r="AJ244" s="137"/>
      <c r="AK244" s="133" t="s">
        <v>142</v>
      </c>
      <c r="AL244" s="136" t="s">
        <v>151</v>
      </c>
      <c r="AM244" s="45"/>
      <c r="AN244" s="137"/>
      <c r="AO244" s="133" t="s">
        <v>142</v>
      </c>
      <c r="AP244" s="136" t="s">
        <v>152</v>
      </c>
      <c r="AQ244" s="45"/>
      <c r="AR244" s="137"/>
      <c r="AS244" s="133" t="s">
        <v>142</v>
      </c>
      <c r="AT244" s="136" t="s">
        <v>153</v>
      </c>
      <c r="AU244" s="45"/>
      <c r="AV244" s="137"/>
      <c r="AW244" s="133" t="s">
        <v>142</v>
      </c>
      <c r="AX244" s="136" t="s">
        <v>154</v>
      </c>
      <c r="AY244" s="45"/>
      <c r="AZ244" s="137"/>
      <c r="BA244" s="133" t="s">
        <v>142</v>
      </c>
      <c r="BB244" s="136" t="s">
        <v>155</v>
      </c>
      <c r="BC244" s="45"/>
      <c r="BD244" s="137"/>
      <c r="BE244" s="133" t="s">
        <v>142</v>
      </c>
      <c r="BF244" s="136" t="s">
        <v>156</v>
      </c>
      <c r="BG244" s="45"/>
      <c r="BH244" s="137"/>
      <c r="BI244" s="133" t="s">
        <v>142</v>
      </c>
      <c r="BJ244" s="136" t="s">
        <v>157</v>
      </c>
      <c r="BK244" s="45"/>
      <c r="BL244" s="137"/>
      <c r="BM244" s="133" t="s">
        <v>142</v>
      </c>
      <c r="BN244" s="136" t="s">
        <v>158</v>
      </c>
      <c r="BO244" s="45"/>
      <c r="BP244" s="137"/>
      <c r="BQ244" s="133" t="s">
        <v>142</v>
      </c>
      <c r="BR244" s="136" t="s">
        <v>159</v>
      </c>
      <c r="BS244" s="45"/>
      <c r="BT244" s="137"/>
      <c r="BU244" s="133" t="s">
        <v>142</v>
      </c>
      <c r="BV244" s="136" t="s">
        <v>160</v>
      </c>
      <c r="BW244" s="45"/>
      <c r="BX244" s="137"/>
      <c r="BY244" s="133" t="s">
        <v>142</v>
      </c>
      <c r="BZ244" s="136" t="s">
        <v>161</v>
      </c>
      <c r="CA244" s="45"/>
      <c r="CB244" s="137"/>
      <c r="CC244" s="133" t="s">
        <v>142</v>
      </c>
      <c r="CD244" s="136" t="s">
        <v>162</v>
      </c>
      <c r="CE244" s="45"/>
      <c r="CF244" s="137"/>
      <c r="CG244" s="133" t="s">
        <v>142</v>
      </c>
      <c r="CH244" s="136" t="s">
        <v>163</v>
      </c>
      <c r="CI244" s="45"/>
    </row>
    <row r="245">
      <c r="A245" s="138"/>
      <c r="B245" s="138"/>
      <c r="C245" s="52"/>
      <c r="D245" s="138"/>
      <c r="E245" s="139"/>
      <c r="F245" s="140"/>
      <c r="G245" s="57"/>
      <c r="I245" s="139"/>
      <c r="J245" s="140"/>
      <c r="K245" s="57"/>
      <c r="M245" s="139"/>
      <c r="N245" s="140"/>
      <c r="O245" s="57"/>
      <c r="Q245" s="139"/>
      <c r="R245" s="140"/>
      <c r="S245" s="57"/>
      <c r="U245" s="139"/>
      <c r="V245" s="140"/>
      <c r="W245" s="57"/>
      <c r="Y245" s="139"/>
      <c r="Z245" s="140"/>
      <c r="AA245" s="57"/>
      <c r="AC245" s="139"/>
      <c r="AD245" s="140"/>
      <c r="AE245" s="57"/>
      <c r="AG245" s="139"/>
      <c r="AH245" s="140"/>
      <c r="AI245" s="57"/>
      <c r="AK245" s="139"/>
      <c r="AL245" s="140"/>
      <c r="AM245" s="57"/>
      <c r="AO245" s="139"/>
      <c r="AP245" s="140"/>
      <c r="AQ245" s="57"/>
      <c r="AS245" s="139"/>
      <c r="AT245" s="140"/>
      <c r="AU245" s="57"/>
      <c r="AW245" s="139"/>
      <c r="AX245" s="140"/>
      <c r="AY245" s="57"/>
      <c r="BA245" s="139"/>
      <c r="BB245" s="140"/>
      <c r="BC245" s="57"/>
      <c r="BE245" s="139"/>
      <c r="BF245" s="140"/>
      <c r="BG245" s="57"/>
      <c r="BI245" s="139"/>
      <c r="BJ245" s="140"/>
      <c r="BK245" s="57"/>
      <c r="BM245" s="139"/>
      <c r="BN245" s="140"/>
      <c r="BO245" s="57"/>
      <c r="BQ245" s="139"/>
      <c r="BR245" s="140"/>
      <c r="BS245" s="57"/>
      <c r="BU245" s="139"/>
      <c r="BV245" s="140"/>
      <c r="BW245" s="57"/>
      <c r="BY245" s="139"/>
      <c r="BZ245" s="140"/>
      <c r="CA245" s="57"/>
      <c r="CC245" s="139"/>
      <c r="CD245" s="140"/>
      <c r="CE245" s="57"/>
      <c r="CG245" s="139"/>
      <c r="CH245" s="140"/>
      <c r="CI245" s="57"/>
    </row>
    <row r="246">
      <c r="A246" s="138"/>
      <c r="B246" s="138"/>
      <c r="C246" s="52"/>
      <c r="D246" s="138"/>
      <c r="E246" s="141">
        <v>46023.0</v>
      </c>
      <c r="F246" s="133" t="s">
        <v>164</v>
      </c>
      <c r="G246" s="133" t="s">
        <v>165</v>
      </c>
      <c r="I246" s="141">
        <v>46023.0</v>
      </c>
      <c r="J246" s="133" t="s">
        <v>164</v>
      </c>
      <c r="K246" s="133" t="s">
        <v>165</v>
      </c>
      <c r="M246" s="141">
        <v>46023.0</v>
      </c>
      <c r="N246" s="133" t="s">
        <v>164</v>
      </c>
      <c r="O246" s="133" t="s">
        <v>165</v>
      </c>
      <c r="Q246" s="141">
        <v>46023.0</v>
      </c>
      <c r="R246" s="133" t="s">
        <v>164</v>
      </c>
      <c r="S246" s="133" t="s">
        <v>165</v>
      </c>
      <c r="U246" s="141">
        <v>46023.0</v>
      </c>
      <c r="V246" s="133" t="s">
        <v>164</v>
      </c>
      <c r="W246" s="133" t="s">
        <v>165</v>
      </c>
      <c r="Y246" s="141">
        <v>46023.0</v>
      </c>
      <c r="Z246" s="133" t="s">
        <v>164</v>
      </c>
      <c r="AA246" s="133" t="s">
        <v>165</v>
      </c>
      <c r="AC246" s="141">
        <v>46023.0</v>
      </c>
      <c r="AD246" s="133" t="s">
        <v>164</v>
      </c>
      <c r="AE246" s="133" t="s">
        <v>165</v>
      </c>
      <c r="AG246" s="141">
        <v>46023.0</v>
      </c>
      <c r="AH246" s="133" t="s">
        <v>164</v>
      </c>
      <c r="AI246" s="133" t="s">
        <v>165</v>
      </c>
      <c r="AK246" s="141">
        <v>46023.0</v>
      </c>
      <c r="AL246" s="133" t="s">
        <v>164</v>
      </c>
      <c r="AM246" s="133" t="s">
        <v>165</v>
      </c>
      <c r="AO246" s="141">
        <v>46023.0</v>
      </c>
      <c r="AP246" s="133" t="s">
        <v>164</v>
      </c>
      <c r="AQ246" s="133" t="s">
        <v>165</v>
      </c>
      <c r="AS246" s="141">
        <v>46023.0</v>
      </c>
      <c r="AT246" s="133" t="s">
        <v>164</v>
      </c>
      <c r="AU246" s="133" t="s">
        <v>165</v>
      </c>
      <c r="AW246" s="141">
        <v>46023.0</v>
      </c>
      <c r="AX246" s="133" t="s">
        <v>164</v>
      </c>
      <c r="AY246" s="133" t="s">
        <v>165</v>
      </c>
      <c r="BA246" s="141">
        <v>46023.0</v>
      </c>
      <c r="BB246" s="133" t="s">
        <v>164</v>
      </c>
      <c r="BC246" s="133" t="s">
        <v>165</v>
      </c>
      <c r="BE246" s="141">
        <v>46023.0</v>
      </c>
      <c r="BF246" s="133" t="s">
        <v>164</v>
      </c>
      <c r="BG246" s="133" t="s">
        <v>165</v>
      </c>
      <c r="BI246" s="141">
        <v>46023.0</v>
      </c>
      <c r="BJ246" s="133" t="s">
        <v>164</v>
      </c>
      <c r="BK246" s="133" t="s">
        <v>165</v>
      </c>
      <c r="BM246" s="141">
        <v>46023.0</v>
      </c>
      <c r="BN246" s="133" t="s">
        <v>164</v>
      </c>
      <c r="BO246" s="133" t="s">
        <v>165</v>
      </c>
      <c r="BQ246" s="141">
        <v>46023.0</v>
      </c>
      <c r="BR246" s="133" t="s">
        <v>164</v>
      </c>
      <c r="BS246" s="133" t="s">
        <v>165</v>
      </c>
      <c r="BU246" s="141">
        <v>46023.0</v>
      </c>
      <c r="BV246" s="133" t="s">
        <v>164</v>
      </c>
      <c r="BW246" s="133" t="s">
        <v>165</v>
      </c>
      <c r="BY246" s="141">
        <v>46023.0</v>
      </c>
      <c r="BZ246" s="133" t="s">
        <v>164</v>
      </c>
      <c r="CA246" s="133" t="s">
        <v>165</v>
      </c>
      <c r="CC246" s="141">
        <v>46023.0</v>
      </c>
      <c r="CD246" s="133" t="s">
        <v>164</v>
      </c>
      <c r="CE246" s="133" t="s">
        <v>165</v>
      </c>
      <c r="CG246" s="141">
        <v>46023.0</v>
      </c>
      <c r="CH246" s="133" t="s">
        <v>164</v>
      </c>
      <c r="CI246" s="133" t="s">
        <v>165</v>
      </c>
    </row>
    <row r="247">
      <c r="A247" s="140"/>
      <c r="B247" s="140"/>
      <c r="C247" s="57"/>
      <c r="D247" s="140"/>
      <c r="E247" s="139"/>
      <c r="F247" s="139"/>
      <c r="G247" s="139"/>
      <c r="I247" s="139"/>
      <c r="J247" s="139"/>
      <c r="K247" s="139"/>
      <c r="M247" s="139"/>
      <c r="N247" s="139"/>
      <c r="O247" s="139"/>
      <c r="Q247" s="139"/>
      <c r="R247" s="139"/>
      <c r="S247" s="139"/>
      <c r="U247" s="139"/>
      <c r="V247" s="139"/>
      <c r="W247" s="139"/>
      <c r="Y247" s="139"/>
      <c r="Z247" s="139"/>
      <c r="AA247" s="139"/>
      <c r="AC247" s="139"/>
      <c r="AD247" s="139"/>
      <c r="AE247" s="139"/>
      <c r="AG247" s="139"/>
      <c r="AH247" s="139"/>
      <c r="AI247" s="139"/>
      <c r="AK247" s="139"/>
      <c r="AL247" s="139"/>
      <c r="AM247" s="139"/>
      <c r="AO247" s="139"/>
      <c r="AP247" s="139"/>
      <c r="AQ247" s="139"/>
      <c r="AS247" s="139"/>
      <c r="AT247" s="139"/>
      <c r="AU247" s="139"/>
      <c r="AW247" s="139"/>
      <c r="AX247" s="139"/>
      <c r="AY247" s="139"/>
      <c r="BA247" s="139"/>
      <c r="BB247" s="139"/>
      <c r="BC247" s="139"/>
      <c r="BE247" s="139"/>
      <c r="BF247" s="139"/>
      <c r="BG247" s="139"/>
      <c r="BI247" s="139"/>
      <c r="BJ247" s="139"/>
      <c r="BK247" s="139"/>
      <c r="BM247" s="139"/>
      <c r="BN247" s="139"/>
      <c r="BO247" s="139"/>
      <c r="BQ247" s="139"/>
      <c r="BR247" s="139"/>
      <c r="BS247" s="139"/>
      <c r="BU247" s="139"/>
      <c r="BV247" s="139"/>
      <c r="BW247" s="139"/>
      <c r="BY247" s="139"/>
      <c r="BZ247" s="139"/>
      <c r="CA247" s="139"/>
      <c r="CC247" s="139"/>
      <c r="CD247" s="139"/>
      <c r="CE247" s="139"/>
      <c r="CG247" s="139"/>
      <c r="CH247" s="139"/>
      <c r="CI247" s="139"/>
    </row>
    <row r="248">
      <c r="A248" s="142" t="b">
        <v>0</v>
      </c>
      <c r="B248" s="143" t="s">
        <v>217</v>
      </c>
      <c r="C248" s="45"/>
      <c r="D248" s="172" t="s">
        <v>38</v>
      </c>
      <c r="E248" s="145" t="s">
        <v>167</v>
      </c>
      <c r="F248" s="146"/>
      <c r="G248" s="146"/>
      <c r="I248" s="145" t="s">
        <v>167</v>
      </c>
      <c r="J248" s="146"/>
      <c r="K248" s="146"/>
      <c r="M248" s="145" t="s">
        <v>167</v>
      </c>
      <c r="N248" s="146"/>
      <c r="O248" s="146"/>
      <c r="Q248" s="145" t="s">
        <v>167</v>
      </c>
      <c r="R248" s="146"/>
      <c r="S248" s="146"/>
      <c r="U248" s="145" t="s">
        <v>167</v>
      </c>
      <c r="V248" s="146"/>
      <c r="W248" s="146"/>
      <c r="Y248" s="145" t="s">
        <v>167</v>
      </c>
      <c r="Z248" s="146"/>
      <c r="AA248" s="146"/>
      <c r="AC248" s="145" t="s">
        <v>167</v>
      </c>
      <c r="AD248" s="146"/>
      <c r="AE248" s="146"/>
      <c r="AG248" s="145" t="s">
        <v>167</v>
      </c>
      <c r="AH248" s="146"/>
      <c r="AI248" s="146"/>
      <c r="AK248" s="145" t="s">
        <v>167</v>
      </c>
      <c r="AL248" s="146"/>
      <c r="AM248" s="146"/>
      <c r="AO248" s="145" t="s">
        <v>167</v>
      </c>
      <c r="AP248" s="146"/>
      <c r="AQ248" s="146"/>
      <c r="AS248" s="145" t="s">
        <v>167</v>
      </c>
      <c r="AT248" s="146"/>
      <c r="AU248" s="146"/>
      <c r="AW248" s="145" t="s">
        <v>167</v>
      </c>
      <c r="AX248" s="146"/>
      <c r="AY248" s="146"/>
      <c r="BA248" s="145" t="s">
        <v>167</v>
      </c>
      <c r="BB248" s="146"/>
      <c r="BC248" s="146"/>
      <c r="BE248" s="145" t="s">
        <v>167</v>
      </c>
      <c r="BF248" s="146"/>
      <c r="BG248" s="146"/>
      <c r="BI248" s="145" t="s">
        <v>167</v>
      </c>
      <c r="BJ248" s="146"/>
      <c r="BK248" s="146"/>
      <c r="BM248" s="145" t="s">
        <v>167</v>
      </c>
      <c r="BN248" s="146"/>
      <c r="BO248" s="146"/>
      <c r="BQ248" s="145" t="s">
        <v>167</v>
      </c>
      <c r="BR248" s="146"/>
      <c r="BS248" s="146"/>
      <c r="BU248" s="145" t="s">
        <v>167</v>
      </c>
      <c r="BV248" s="146"/>
      <c r="BW248" s="146"/>
      <c r="BY248" s="145" t="s">
        <v>167</v>
      </c>
      <c r="BZ248" s="146"/>
      <c r="CA248" s="146"/>
      <c r="CC248" s="145" t="s">
        <v>167</v>
      </c>
      <c r="CD248" s="146"/>
      <c r="CE248" s="146"/>
      <c r="CG248" s="145" t="s">
        <v>167</v>
      </c>
      <c r="CH248" s="146"/>
      <c r="CI248" s="146"/>
    </row>
    <row r="249">
      <c r="A249" s="147"/>
      <c r="B249" s="138"/>
      <c r="C249" s="52"/>
      <c r="D249" s="138"/>
      <c r="E249" s="139"/>
      <c r="F249" s="139"/>
      <c r="G249" s="139"/>
      <c r="I249" s="139"/>
      <c r="J249" s="139"/>
      <c r="K249" s="139"/>
      <c r="M249" s="139"/>
      <c r="N249" s="139"/>
      <c r="O249" s="139"/>
      <c r="Q249" s="139"/>
      <c r="R249" s="139"/>
      <c r="S249" s="139"/>
      <c r="U249" s="139"/>
      <c r="V249" s="139"/>
      <c r="W249" s="139"/>
      <c r="Y249" s="139"/>
      <c r="Z249" s="139"/>
      <c r="AA249" s="139"/>
      <c r="AC249" s="139"/>
      <c r="AD249" s="139"/>
      <c r="AE249" s="139"/>
      <c r="AG249" s="139"/>
      <c r="AH249" s="139"/>
      <c r="AI249" s="139"/>
      <c r="AK249" s="139"/>
      <c r="AL249" s="139"/>
      <c r="AM249" s="139"/>
      <c r="AO249" s="139"/>
      <c r="AP249" s="139"/>
      <c r="AQ249" s="139"/>
      <c r="AS249" s="139"/>
      <c r="AT249" s="139"/>
      <c r="AU249" s="139"/>
      <c r="AW249" s="139"/>
      <c r="AX249" s="139"/>
      <c r="AY249" s="139"/>
      <c r="BA249" s="139"/>
      <c r="BB249" s="139"/>
      <c r="BC249" s="139"/>
      <c r="BE249" s="139"/>
      <c r="BF249" s="139"/>
      <c r="BG249" s="139"/>
      <c r="BI249" s="139"/>
      <c r="BJ249" s="139"/>
      <c r="BK249" s="139"/>
      <c r="BM249" s="139"/>
      <c r="BN249" s="139"/>
      <c r="BO249" s="139"/>
      <c r="BQ249" s="139"/>
      <c r="BR249" s="139"/>
      <c r="BS249" s="139"/>
      <c r="BU249" s="139"/>
      <c r="BV249" s="139"/>
      <c r="BW249" s="139"/>
      <c r="BY249" s="139"/>
      <c r="BZ249" s="139"/>
      <c r="CA249" s="139"/>
      <c r="CC249" s="139"/>
      <c r="CD249" s="139"/>
      <c r="CE249" s="139"/>
      <c r="CG249" s="139"/>
      <c r="CH249" s="139"/>
      <c r="CI249" s="139"/>
    </row>
    <row r="250" ht="15.0" customHeight="1">
      <c r="A250" s="147"/>
      <c r="B250" s="138"/>
      <c r="C250" s="52"/>
      <c r="D250" s="138"/>
      <c r="E250" s="148"/>
      <c r="F250" s="149"/>
      <c r="G250" s="45"/>
      <c r="I250" s="148"/>
      <c r="J250" s="149"/>
      <c r="K250" s="45"/>
      <c r="M250" s="148"/>
      <c r="N250" s="149"/>
      <c r="O250" s="45"/>
      <c r="Q250" s="148"/>
      <c r="R250" s="149"/>
      <c r="S250" s="45"/>
      <c r="U250" s="148"/>
      <c r="V250" s="149"/>
      <c r="W250" s="45"/>
      <c r="Y250" s="148"/>
      <c r="Z250" s="149"/>
      <c r="AA250" s="45"/>
      <c r="AC250" s="148"/>
      <c r="AD250" s="149"/>
      <c r="AE250" s="45"/>
      <c r="AG250" s="148"/>
      <c r="AH250" s="149"/>
      <c r="AI250" s="45"/>
      <c r="AK250" s="148"/>
      <c r="AL250" s="149"/>
      <c r="AM250" s="45"/>
      <c r="AO250" s="148"/>
      <c r="AP250" s="149"/>
      <c r="AQ250" s="45"/>
      <c r="AS250" s="148"/>
      <c r="AT250" s="149"/>
      <c r="AU250" s="45"/>
      <c r="AW250" s="148"/>
      <c r="AX250" s="149"/>
      <c r="AY250" s="45"/>
      <c r="BA250" s="148"/>
      <c r="BB250" s="149"/>
      <c r="BC250" s="45"/>
      <c r="BE250" s="148"/>
      <c r="BF250" s="149"/>
      <c r="BG250" s="45"/>
      <c r="BI250" s="148"/>
      <c r="BJ250" s="149"/>
      <c r="BK250" s="45"/>
      <c r="BM250" s="148"/>
      <c r="BN250" s="149"/>
      <c r="BO250" s="45"/>
      <c r="BQ250" s="148"/>
      <c r="BR250" s="149"/>
      <c r="BS250" s="45"/>
      <c r="BU250" s="148"/>
      <c r="BV250" s="149"/>
      <c r="BW250" s="45"/>
      <c r="BY250" s="148"/>
      <c r="BZ250" s="149"/>
      <c r="CA250" s="45"/>
      <c r="CC250" s="148"/>
      <c r="CD250" s="149"/>
      <c r="CE250" s="45"/>
      <c r="CG250" s="148"/>
      <c r="CH250" s="149"/>
      <c r="CI250" s="45"/>
    </row>
    <row r="251" ht="15.0" customHeight="1">
      <c r="A251" s="147"/>
      <c r="B251" s="140"/>
      <c r="C251" s="57"/>
      <c r="D251" s="140"/>
      <c r="E251" s="138"/>
      <c r="G251" s="52"/>
      <c r="I251" s="138"/>
      <c r="K251" s="52"/>
      <c r="M251" s="138"/>
      <c r="O251" s="52"/>
      <c r="Q251" s="138"/>
      <c r="S251" s="52"/>
      <c r="U251" s="138"/>
      <c r="W251" s="52"/>
      <c r="Y251" s="138"/>
      <c r="AA251" s="52"/>
      <c r="AC251" s="138"/>
      <c r="AE251" s="52"/>
      <c r="AG251" s="138"/>
      <c r="AI251" s="52"/>
      <c r="AK251" s="138"/>
      <c r="AM251" s="52"/>
      <c r="AO251" s="138"/>
      <c r="AQ251" s="52"/>
      <c r="AS251" s="138"/>
      <c r="AU251" s="52"/>
      <c r="AW251" s="138"/>
      <c r="AY251" s="52"/>
      <c r="BA251" s="138"/>
      <c r="BC251" s="52"/>
      <c r="BE251" s="138"/>
      <c r="BG251" s="52"/>
      <c r="BI251" s="138"/>
      <c r="BK251" s="52"/>
      <c r="BM251" s="138"/>
      <c r="BO251" s="52"/>
      <c r="BQ251" s="138"/>
      <c r="BS251" s="52"/>
      <c r="BU251" s="138"/>
      <c r="BW251" s="52"/>
      <c r="BY251" s="138"/>
      <c r="CA251" s="52"/>
      <c r="CC251" s="138"/>
      <c r="CE251" s="52"/>
      <c r="CG251" s="138"/>
      <c r="CI251" s="52"/>
    </row>
    <row r="252" ht="22.5" customHeight="1">
      <c r="A252" s="147"/>
      <c r="B252" s="173" t="s">
        <v>168</v>
      </c>
      <c r="C252" s="174" t="s">
        <v>165</v>
      </c>
      <c r="D252" s="175" t="s">
        <v>164</v>
      </c>
      <c r="E252" s="140"/>
      <c r="F252" s="56"/>
      <c r="G252" s="57"/>
      <c r="I252" s="140"/>
      <c r="J252" s="56"/>
      <c r="K252" s="57"/>
      <c r="M252" s="140"/>
      <c r="N252" s="56"/>
      <c r="O252" s="57"/>
      <c r="Q252" s="140"/>
      <c r="R252" s="56"/>
      <c r="S252" s="57"/>
      <c r="U252" s="140"/>
      <c r="V252" s="56"/>
      <c r="W252" s="57"/>
      <c r="Y252" s="140"/>
      <c r="Z252" s="56"/>
      <c r="AA252" s="57"/>
      <c r="AC252" s="140"/>
      <c r="AD252" s="56"/>
      <c r="AE252" s="57"/>
      <c r="AG252" s="140"/>
      <c r="AH252" s="56"/>
      <c r="AI252" s="57"/>
      <c r="AK252" s="140"/>
      <c r="AL252" s="56"/>
      <c r="AM252" s="57"/>
      <c r="AO252" s="140"/>
      <c r="AP252" s="56"/>
      <c r="AQ252" s="57"/>
      <c r="AS252" s="140"/>
      <c r="AT252" s="56"/>
      <c r="AU252" s="57"/>
      <c r="AW252" s="140"/>
      <c r="AX252" s="56"/>
      <c r="AY252" s="57"/>
      <c r="BA252" s="140"/>
      <c r="BB252" s="56"/>
      <c r="BC252" s="57"/>
      <c r="BE252" s="140"/>
      <c r="BF252" s="56"/>
      <c r="BG252" s="57"/>
      <c r="BI252" s="140"/>
      <c r="BJ252" s="56"/>
      <c r="BK252" s="57"/>
      <c r="BM252" s="140"/>
      <c r="BN252" s="56"/>
      <c r="BO252" s="57"/>
      <c r="BQ252" s="140"/>
      <c r="BR252" s="56"/>
      <c r="BS252" s="57"/>
      <c r="BU252" s="140"/>
      <c r="BV252" s="56"/>
      <c r="BW252" s="57"/>
      <c r="BY252" s="140"/>
      <c r="BZ252" s="56"/>
      <c r="CA252" s="57"/>
      <c r="CC252" s="140"/>
      <c r="CD252" s="56"/>
      <c r="CE252" s="57"/>
      <c r="CG252" s="140"/>
      <c r="CH252" s="56"/>
      <c r="CI252" s="57"/>
    </row>
    <row r="253" ht="24.0" customHeight="1">
      <c r="A253" s="139"/>
      <c r="B253" s="161">
        <v>3.0</v>
      </c>
      <c r="C253" s="164" t="s">
        <v>169</v>
      </c>
      <c r="D253" s="155" t="s">
        <v>176</v>
      </c>
      <c r="E253" s="156" t="s">
        <v>171</v>
      </c>
      <c r="F253" s="38"/>
      <c r="G253" s="157"/>
      <c r="I253" s="156" t="s">
        <v>171</v>
      </c>
      <c r="J253" s="38"/>
      <c r="K253" s="157"/>
      <c r="M253" s="156" t="s">
        <v>171</v>
      </c>
      <c r="N253" s="38"/>
      <c r="O253" s="157"/>
      <c r="Q253" s="156" t="s">
        <v>171</v>
      </c>
      <c r="R253" s="38"/>
      <c r="S253" s="157"/>
      <c r="U253" s="156" t="s">
        <v>171</v>
      </c>
      <c r="V253" s="38"/>
      <c r="W253" s="157"/>
      <c r="Y253" s="156" t="s">
        <v>171</v>
      </c>
      <c r="Z253" s="38"/>
      <c r="AA253" s="157"/>
      <c r="AC253" s="156" t="s">
        <v>171</v>
      </c>
      <c r="AD253" s="38"/>
      <c r="AE253" s="157"/>
      <c r="AG253" s="156" t="s">
        <v>171</v>
      </c>
      <c r="AH253" s="38"/>
      <c r="AI253" s="157"/>
      <c r="AK253" s="156" t="s">
        <v>171</v>
      </c>
      <c r="AL253" s="38"/>
      <c r="AM253" s="157"/>
      <c r="AO253" s="156" t="s">
        <v>171</v>
      </c>
      <c r="AP253" s="38"/>
      <c r="AQ253" s="157"/>
      <c r="AS253" s="156" t="s">
        <v>171</v>
      </c>
      <c r="AT253" s="38"/>
      <c r="AU253" s="157"/>
      <c r="AW253" s="156" t="s">
        <v>171</v>
      </c>
      <c r="AX253" s="38"/>
      <c r="AY253" s="157"/>
      <c r="BA253" s="156" t="s">
        <v>171</v>
      </c>
      <c r="BB253" s="38"/>
      <c r="BC253" s="157"/>
      <c r="BE253" s="156" t="s">
        <v>171</v>
      </c>
      <c r="BF253" s="38"/>
      <c r="BG253" s="157"/>
      <c r="BI253" s="156" t="s">
        <v>171</v>
      </c>
      <c r="BJ253" s="38"/>
      <c r="BK253" s="157"/>
      <c r="BM253" s="156" t="s">
        <v>171</v>
      </c>
      <c r="BN253" s="38"/>
      <c r="BO253" s="157"/>
      <c r="BQ253" s="156" t="s">
        <v>171</v>
      </c>
      <c r="BR253" s="38"/>
      <c r="BS253" s="157"/>
      <c r="BU253" s="156" t="s">
        <v>171</v>
      </c>
      <c r="BV253" s="38"/>
      <c r="BW253" s="157"/>
      <c r="BY253" s="156" t="s">
        <v>171</v>
      </c>
      <c r="BZ253" s="38"/>
      <c r="CA253" s="157"/>
      <c r="CC253" s="156" t="s">
        <v>171</v>
      </c>
      <c r="CD253" s="38"/>
      <c r="CE253" s="157"/>
      <c r="CG253" s="156" t="s">
        <v>171</v>
      </c>
      <c r="CH253" s="38"/>
      <c r="CI253" s="157"/>
    </row>
    <row r="254" ht="7.5" customHeight="1">
      <c r="A254" s="166"/>
      <c r="E254" s="137"/>
      <c r="I254" s="137"/>
      <c r="M254" s="137"/>
      <c r="Q254" s="137"/>
      <c r="U254" s="137"/>
      <c r="Y254" s="137"/>
      <c r="AC254" s="137"/>
      <c r="AG254" s="137"/>
      <c r="AK254" s="137"/>
      <c r="AO254" s="137"/>
      <c r="AS254" s="137"/>
      <c r="AW254" s="137"/>
      <c r="BA254" s="137"/>
      <c r="BE254" s="137"/>
      <c r="BI254" s="137"/>
      <c r="BM254" s="137"/>
      <c r="BQ254" s="137"/>
      <c r="BU254" s="137"/>
      <c r="BY254" s="137"/>
      <c r="CC254" s="137"/>
      <c r="CG254" s="137"/>
    </row>
    <row r="255">
      <c r="A255" s="142" t="b">
        <v>0</v>
      </c>
      <c r="B255" s="165" t="s">
        <v>172</v>
      </c>
      <c r="C255" s="45"/>
      <c r="D255" s="172" t="s">
        <v>38</v>
      </c>
      <c r="E255" s="145" t="s">
        <v>167</v>
      </c>
      <c r="F255" s="146"/>
      <c r="G255" s="146"/>
      <c r="I255" s="145" t="s">
        <v>167</v>
      </c>
      <c r="J255" s="146"/>
      <c r="K255" s="146"/>
      <c r="M255" s="145" t="s">
        <v>167</v>
      </c>
      <c r="N255" s="146"/>
      <c r="O255" s="146"/>
      <c r="Q255" s="145" t="s">
        <v>167</v>
      </c>
      <c r="R255" s="146"/>
      <c r="S255" s="146"/>
      <c r="U255" s="145" t="s">
        <v>167</v>
      </c>
      <c r="V255" s="146"/>
      <c r="W255" s="146"/>
      <c r="Y255" s="145" t="s">
        <v>167</v>
      </c>
      <c r="Z255" s="146"/>
      <c r="AA255" s="146"/>
      <c r="AC255" s="145" t="s">
        <v>167</v>
      </c>
      <c r="AD255" s="146"/>
      <c r="AE255" s="146"/>
      <c r="AG255" s="145" t="s">
        <v>167</v>
      </c>
      <c r="AH255" s="146"/>
      <c r="AI255" s="146"/>
      <c r="AK255" s="145" t="s">
        <v>167</v>
      </c>
      <c r="AL255" s="146"/>
      <c r="AM255" s="146"/>
      <c r="AO255" s="145" t="s">
        <v>167</v>
      </c>
      <c r="AP255" s="146"/>
      <c r="AQ255" s="146"/>
      <c r="AS255" s="145" t="s">
        <v>167</v>
      </c>
      <c r="AT255" s="146"/>
      <c r="AU255" s="146"/>
      <c r="AW255" s="145" t="s">
        <v>167</v>
      </c>
      <c r="AX255" s="146"/>
      <c r="AY255" s="146"/>
      <c r="BA255" s="145" t="s">
        <v>167</v>
      </c>
      <c r="BB255" s="146"/>
      <c r="BC255" s="146"/>
      <c r="BE255" s="145" t="s">
        <v>167</v>
      </c>
      <c r="BF255" s="146"/>
      <c r="BG255" s="146"/>
      <c r="BI255" s="145" t="s">
        <v>167</v>
      </c>
      <c r="BJ255" s="146"/>
      <c r="BK255" s="146"/>
      <c r="BM255" s="145" t="s">
        <v>167</v>
      </c>
      <c r="BN255" s="146"/>
      <c r="BO255" s="146"/>
      <c r="BQ255" s="145" t="s">
        <v>167</v>
      </c>
      <c r="BR255" s="146"/>
      <c r="BS255" s="146"/>
      <c r="BU255" s="145" t="s">
        <v>167</v>
      </c>
      <c r="BV255" s="146"/>
      <c r="BW255" s="146"/>
      <c r="BY255" s="145" t="s">
        <v>167</v>
      </c>
      <c r="BZ255" s="146"/>
      <c r="CA255" s="146"/>
      <c r="CC255" s="145" t="s">
        <v>167</v>
      </c>
      <c r="CD255" s="146"/>
      <c r="CE255" s="146"/>
      <c r="CG255" s="145" t="s">
        <v>167</v>
      </c>
      <c r="CH255" s="146"/>
      <c r="CI255" s="146"/>
    </row>
    <row r="256">
      <c r="A256" s="147"/>
      <c r="B256" s="138"/>
      <c r="C256" s="52"/>
      <c r="D256" s="138"/>
      <c r="E256" s="139"/>
      <c r="F256" s="139"/>
      <c r="G256" s="139"/>
      <c r="I256" s="139"/>
      <c r="J256" s="139"/>
      <c r="K256" s="139"/>
      <c r="M256" s="139"/>
      <c r="N256" s="139"/>
      <c r="O256" s="139"/>
      <c r="Q256" s="139"/>
      <c r="R256" s="139"/>
      <c r="S256" s="139"/>
      <c r="U256" s="139"/>
      <c r="V256" s="139"/>
      <c r="W256" s="139"/>
      <c r="Y256" s="139"/>
      <c r="Z256" s="139"/>
      <c r="AA256" s="139"/>
      <c r="AC256" s="139"/>
      <c r="AD256" s="139"/>
      <c r="AE256" s="139"/>
      <c r="AG256" s="139"/>
      <c r="AH256" s="139"/>
      <c r="AI256" s="139"/>
      <c r="AK256" s="139"/>
      <c r="AL256" s="139"/>
      <c r="AM256" s="139"/>
      <c r="AO256" s="139"/>
      <c r="AP256" s="139"/>
      <c r="AQ256" s="139"/>
      <c r="AS256" s="139"/>
      <c r="AT256" s="139"/>
      <c r="AU256" s="139"/>
      <c r="AW256" s="139"/>
      <c r="AX256" s="139"/>
      <c r="AY256" s="139"/>
      <c r="BA256" s="139"/>
      <c r="BB256" s="139"/>
      <c r="BC256" s="139"/>
      <c r="BE256" s="139"/>
      <c r="BF256" s="139"/>
      <c r="BG256" s="139"/>
      <c r="BI256" s="139"/>
      <c r="BJ256" s="139"/>
      <c r="BK256" s="139"/>
      <c r="BM256" s="139"/>
      <c r="BN256" s="139"/>
      <c r="BO256" s="139"/>
      <c r="BQ256" s="139"/>
      <c r="BR256" s="139"/>
      <c r="BS256" s="139"/>
      <c r="BU256" s="139"/>
      <c r="BV256" s="139"/>
      <c r="BW256" s="139"/>
      <c r="BY256" s="139"/>
      <c r="BZ256" s="139"/>
      <c r="CA256" s="139"/>
      <c r="CC256" s="139"/>
      <c r="CD256" s="139"/>
      <c r="CE256" s="139"/>
      <c r="CG256" s="139"/>
      <c r="CH256" s="139"/>
      <c r="CI256" s="139"/>
    </row>
    <row r="257" ht="13.5" customHeight="1">
      <c r="A257" s="147"/>
      <c r="B257" s="138"/>
      <c r="C257" s="52"/>
      <c r="D257" s="138"/>
      <c r="E257" s="148"/>
      <c r="F257" s="149"/>
      <c r="G257" s="45"/>
      <c r="I257" s="148"/>
      <c r="J257" s="149"/>
      <c r="K257" s="45"/>
      <c r="M257" s="148"/>
      <c r="N257" s="149"/>
      <c r="O257" s="45"/>
      <c r="Q257" s="148"/>
      <c r="R257" s="149"/>
      <c r="S257" s="45"/>
      <c r="U257" s="148"/>
      <c r="V257" s="149"/>
      <c r="W257" s="45"/>
      <c r="Y257" s="148"/>
      <c r="Z257" s="149"/>
      <c r="AA257" s="45"/>
      <c r="AC257" s="148"/>
      <c r="AD257" s="149"/>
      <c r="AE257" s="45"/>
      <c r="AG257" s="148"/>
      <c r="AH257" s="149"/>
      <c r="AI257" s="45"/>
      <c r="AK257" s="148"/>
      <c r="AL257" s="149"/>
      <c r="AM257" s="45"/>
      <c r="AO257" s="148"/>
      <c r="AP257" s="149"/>
      <c r="AQ257" s="45"/>
      <c r="AS257" s="148"/>
      <c r="AT257" s="149"/>
      <c r="AU257" s="45"/>
      <c r="AW257" s="148"/>
      <c r="AX257" s="149"/>
      <c r="AY257" s="45"/>
      <c r="BA257" s="148"/>
      <c r="BB257" s="149"/>
      <c r="BC257" s="45"/>
      <c r="BE257" s="148"/>
      <c r="BF257" s="149"/>
      <c r="BG257" s="45"/>
      <c r="BI257" s="148"/>
      <c r="BJ257" s="149"/>
      <c r="BK257" s="45"/>
      <c r="BM257" s="148"/>
      <c r="BN257" s="149"/>
      <c r="BO257" s="45"/>
      <c r="BQ257" s="148"/>
      <c r="BR257" s="149"/>
      <c r="BS257" s="45"/>
      <c r="BU257" s="148"/>
      <c r="BV257" s="149"/>
      <c r="BW257" s="45"/>
      <c r="BY257" s="148"/>
      <c r="BZ257" s="149"/>
      <c r="CA257" s="45"/>
      <c r="CC257" s="148"/>
      <c r="CD257" s="149"/>
      <c r="CE257" s="45"/>
      <c r="CG257" s="148"/>
      <c r="CH257" s="149"/>
      <c r="CI257" s="45"/>
    </row>
    <row r="258" ht="13.5" customHeight="1">
      <c r="A258" s="147"/>
      <c r="B258" s="140"/>
      <c r="C258" s="57"/>
      <c r="D258" s="140"/>
      <c r="E258" s="138"/>
      <c r="G258" s="52"/>
      <c r="I258" s="138"/>
      <c r="K258" s="52"/>
      <c r="M258" s="138"/>
      <c r="O258" s="52"/>
      <c r="Q258" s="138"/>
      <c r="S258" s="52"/>
      <c r="U258" s="138"/>
      <c r="W258" s="52"/>
      <c r="Y258" s="138"/>
      <c r="AA258" s="52"/>
      <c r="AC258" s="138"/>
      <c r="AE258" s="52"/>
      <c r="AG258" s="138"/>
      <c r="AI258" s="52"/>
      <c r="AK258" s="138"/>
      <c r="AM258" s="52"/>
      <c r="AO258" s="138"/>
      <c r="AQ258" s="52"/>
      <c r="AS258" s="138"/>
      <c r="AU258" s="52"/>
      <c r="AW258" s="138"/>
      <c r="AY258" s="52"/>
      <c r="BA258" s="138"/>
      <c r="BC258" s="52"/>
      <c r="BE258" s="138"/>
      <c r="BG258" s="52"/>
      <c r="BI258" s="138"/>
      <c r="BK258" s="52"/>
      <c r="BM258" s="138"/>
      <c r="BO258" s="52"/>
      <c r="BQ258" s="138"/>
      <c r="BS258" s="52"/>
      <c r="BU258" s="138"/>
      <c r="BW258" s="52"/>
      <c r="BY258" s="138"/>
      <c r="CA258" s="52"/>
      <c r="CC258" s="138"/>
      <c r="CE258" s="52"/>
      <c r="CG258" s="138"/>
      <c r="CI258" s="52"/>
    </row>
    <row r="259" ht="26.25" customHeight="1">
      <c r="A259" s="147"/>
      <c r="B259" s="173" t="s">
        <v>168</v>
      </c>
      <c r="C259" s="174" t="s">
        <v>165</v>
      </c>
      <c r="D259" s="175" t="s">
        <v>164</v>
      </c>
      <c r="E259" s="140"/>
      <c r="F259" s="56"/>
      <c r="G259" s="57"/>
      <c r="I259" s="140"/>
      <c r="J259" s="56"/>
      <c r="K259" s="57"/>
      <c r="M259" s="140"/>
      <c r="N259" s="56"/>
      <c r="O259" s="57"/>
      <c r="Q259" s="140"/>
      <c r="R259" s="56"/>
      <c r="S259" s="57"/>
      <c r="U259" s="140"/>
      <c r="V259" s="56"/>
      <c r="W259" s="57"/>
      <c r="Y259" s="140"/>
      <c r="Z259" s="56"/>
      <c r="AA259" s="57"/>
      <c r="AC259" s="140"/>
      <c r="AD259" s="56"/>
      <c r="AE259" s="57"/>
      <c r="AG259" s="140"/>
      <c r="AH259" s="56"/>
      <c r="AI259" s="57"/>
      <c r="AK259" s="140"/>
      <c r="AL259" s="56"/>
      <c r="AM259" s="57"/>
      <c r="AO259" s="140"/>
      <c r="AP259" s="56"/>
      <c r="AQ259" s="57"/>
      <c r="AS259" s="140"/>
      <c r="AT259" s="56"/>
      <c r="AU259" s="57"/>
      <c r="AW259" s="140"/>
      <c r="AX259" s="56"/>
      <c r="AY259" s="57"/>
      <c r="BA259" s="140"/>
      <c r="BB259" s="56"/>
      <c r="BC259" s="57"/>
      <c r="BE259" s="140"/>
      <c r="BF259" s="56"/>
      <c r="BG259" s="57"/>
      <c r="BI259" s="140"/>
      <c r="BJ259" s="56"/>
      <c r="BK259" s="57"/>
      <c r="BM259" s="140"/>
      <c r="BN259" s="56"/>
      <c r="BO259" s="57"/>
      <c r="BQ259" s="140"/>
      <c r="BR259" s="56"/>
      <c r="BS259" s="57"/>
      <c r="BU259" s="140"/>
      <c r="BV259" s="56"/>
      <c r="BW259" s="57"/>
      <c r="BY259" s="140"/>
      <c r="BZ259" s="56"/>
      <c r="CA259" s="57"/>
      <c r="CC259" s="140"/>
      <c r="CD259" s="56"/>
      <c r="CE259" s="57"/>
      <c r="CG259" s="140"/>
      <c r="CH259" s="56"/>
      <c r="CI259" s="57"/>
    </row>
    <row r="260" ht="25.5" customHeight="1">
      <c r="A260" s="139"/>
      <c r="B260" s="161">
        <v>3.0</v>
      </c>
      <c r="C260" s="161" t="s">
        <v>218</v>
      </c>
      <c r="D260" s="162" t="s">
        <v>174</v>
      </c>
      <c r="E260" s="156" t="s">
        <v>171</v>
      </c>
      <c r="F260" s="38"/>
      <c r="G260" s="157"/>
      <c r="I260" s="156" t="s">
        <v>171</v>
      </c>
      <c r="J260" s="38"/>
      <c r="K260" s="157"/>
      <c r="M260" s="156" t="s">
        <v>171</v>
      </c>
      <c r="N260" s="38"/>
      <c r="O260" s="157"/>
      <c r="Q260" s="156" t="s">
        <v>171</v>
      </c>
      <c r="R260" s="38"/>
      <c r="S260" s="157"/>
      <c r="U260" s="156" t="s">
        <v>171</v>
      </c>
      <c r="V260" s="38"/>
      <c r="W260" s="157"/>
      <c r="Y260" s="156" t="s">
        <v>171</v>
      </c>
      <c r="Z260" s="38"/>
      <c r="AA260" s="157"/>
      <c r="AC260" s="156" t="s">
        <v>171</v>
      </c>
      <c r="AD260" s="38"/>
      <c r="AE260" s="157"/>
      <c r="AG260" s="156" t="s">
        <v>171</v>
      </c>
      <c r="AH260" s="38"/>
      <c r="AI260" s="157"/>
      <c r="AK260" s="156" t="s">
        <v>171</v>
      </c>
      <c r="AL260" s="38"/>
      <c r="AM260" s="157"/>
      <c r="AO260" s="156" t="s">
        <v>171</v>
      </c>
      <c r="AP260" s="38"/>
      <c r="AQ260" s="157"/>
      <c r="AS260" s="156" t="s">
        <v>171</v>
      </c>
      <c r="AT260" s="38"/>
      <c r="AU260" s="157"/>
      <c r="AW260" s="156" t="s">
        <v>171</v>
      </c>
      <c r="AX260" s="38"/>
      <c r="AY260" s="157"/>
      <c r="BA260" s="156" t="s">
        <v>171</v>
      </c>
      <c r="BB260" s="38"/>
      <c r="BC260" s="157"/>
      <c r="BE260" s="156" t="s">
        <v>171</v>
      </c>
      <c r="BF260" s="38"/>
      <c r="BG260" s="157"/>
      <c r="BI260" s="156" t="s">
        <v>171</v>
      </c>
      <c r="BJ260" s="38"/>
      <c r="BK260" s="157"/>
      <c r="BM260" s="156" t="s">
        <v>171</v>
      </c>
      <c r="BN260" s="38"/>
      <c r="BO260" s="157"/>
      <c r="BQ260" s="156" t="s">
        <v>171</v>
      </c>
      <c r="BR260" s="38"/>
      <c r="BS260" s="157"/>
      <c r="BU260" s="156" t="s">
        <v>171</v>
      </c>
      <c r="BV260" s="38"/>
      <c r="BW260" s="157"/>
      <c r="BY260" s="156" t="s">
        <v>171</v>
      </c>
      <c r="BZ260" s="38"/>
      <c r="CA260" s="157"/>
      <c r="CC260" s="156" t="s">
        <v>171</v>
      </c>
      <c r="CD260" s="38"/>
      <c r="CE260" s="157"/>
      <c r="CG260" s="156" t="s">
        <v>171</v>
      </c>
      <c r="CH260" s="38"/>
      <c r="CI260" s="157"/>
    </row>
    <row r="261" ht="9.0" customHeight="1">
      <c r="A261" s="166"/>
      <c r="E261" s="137"/>
      <c r="I261" s="137"/>
      <c r="M261" s="137"/>
      <c r="Q261" s="137"/>
      <c r="U261" s="137"/>
      <c r="Y261" s="137"/>
      <c r="AC261" s="137"/>
      <c r="AG261" s="137"/>
      <c r="AK261" s="137"/>
      <c r="AO261" s="137"/>
      <c r="AS261" s="137"/>
      <c r="AW261" s="137"/>
      <c r="BA261" s="137"/>
      <c r="BE261" s="137"/>
      <c r="BI261" s="137"/>
      <c r="BM261" s="137"/>
      <c r="BQ261" s="137"/>
      <c r="BU261" s="137"/>
      <c r="BY261" s="137"/>
      <c r="CC261" s="137"/>
      <c r="CG261" s="137"/>
    </row>
    <row r="262">
      <c r="A262" s="142" t="b">
        <v>0</v>
      </c>
      <c r="B262" s="160" t="s">
        <v>219</v>
      </c>
      <c r="C262" s="45"/>
      <c r="D262" s="172" t="s">
        <v>38</v>
      </c>
      <c r="E262" s="145" t="s">
        <v>167</v>
      </c>
      <c r="F262" s="146"/>
      <c r="G262" s="146"/>
      <c r="I262" s="145" t="s">
        <v>167</v>
      </c>
      <c r="J262" s="146"/>
      <c r="K262" s="146"/>
      <c r="M262" s="145" t="s">
        <v>167</v>
      </c>
      <c r="N262" s="146"/>
      <c r="O262" s="146"/>
      <c r="Q262" s="145" t="s">
        <v>167</v>
      </c>
      <c r="R262" s="146"/>
      <c r="S262" s="146"/>
      <c r="U262" s="145" t="s">
        <v>167</v>
      </c>
      <c r="V262" s="146"/>
      <c r="W262" s="146"/>
      <c r="Y262" s="145" t="s">
        <v>167</v>
      </c>
      <c r="Z262" s="146"/>
      <c r="AA262" s="146"/>
      <c r="AC262" s="145" t="s">
        <v>167</v>
      </c>
      <c r="AD262" s="146"/>
      <c r="AE262" s="146"/>
      <c r="AG262" s="145" t="s">
        <v>167</v>
      </c>
      <c r="AH262" s="146"/>
      <c r="AI262" s="146"/>
      <c r="AK262" s="145" t="s">
        <v>167</v>
      </c>
      <c r="AL262" s="146"/>
      <c r="AM262" s="146"/>
      <c r="AO262" s="145" t="s">
        <v>167</v>
      </c>
      <c r="AP262" s="146"/>
      <c r="AQ262" s="146"/>
      <c r="AS262" s="145" t="s">
        <v>167</v>
      </c>
      <c r="AT262" s="146"/>
      <c r="AU262" s="146"/>
      <c r="AW262" s="145" t="s">
        <v>167</v>
      </c>
      <c r="AX262" s="146"/>
      <c r="AY262" s="146"/>
      <c r="BA262" s="145" t="s">
        <v>167</v>
      </c>
      <c r="BB262" s="146"/>
      <c r="BC262" s="146"/>
      <c r="BE262" s="145" t="s">
        <v>167</v>
      </c>
      <c r="BF262" s="146"/>
      <c r="BG262" s="146"/>
      <c r="BI262" s="145" t="s">
        <v>167</v>
      </c>
      <c r="BJ262" s="146"/>
      <c r="BK262" s="146"/>
      <c r="BM262" s="145" t="s">
        <v>167</v>
      </c>
      <c r="BN262" s="146"/>
      <c r="BO262" s="146"/>
      <c r="BQ262" s="145" t="s">
        <v>167</v>
      </c>
      <c r="BR262" s="146"/>
      <c r="BS262" s="146"/>
      <c r="BU262" s="145" t="s">
        <v>167</v>
      </c>
      <c r="BV262" s="146"/>
      <c r="BW262" s="146"/>
      <c r="BY262" s="145" t="s">
        <v>167</v>
      </c>
      <c r="BZ262" s="146"/>
      <c r="CA262" s="146"/>
      <c r="CC262" s="145" t="s">
        <v>167</v>
      </c>
      <c r="CD262" s="146"/>
      <c r="CE262" s="146"/>
      <c r="CG262" s="145" t="s">
        <v>167</v>
      </c>
      <c r="CH262" s="146"/>
      <c r="CI262" s="146"/>
    </row>
    <row r="263">
      <c r="A263" s="147"/>
      <c r="B263" s="138"/>
      <c r="C263" s="52"/>
      <c r="D263" s="138"/>
      <c r="E263" s="139"/>
      <c r="F263" s="139"/>
      <c r="G263" s="139"/>
      <c r="I263" s="139"/>
      <c r="J263" s="139"/>
      <c r="K263" s="139"/>
      <c r="M263" s="139"/>
      <c r="N263" s="139"/>
      <c r="O263" s="139"/>
      <c r="Q263" s="139"/>
      <c r="R263" s="139"/>
      <c r="S263" s="139"/>
      <c r="U263" s="139"/>
      <c r="V263" s="139"/>
      <c r="W263" s="139"/>
      <c r="Y263" s="139"/>
      <c r="Z263" s="139"/>
      <c r="AA263" s="139"/>
      <c r="AC263" s="139"/>
      <c r="AD263" s="139"/>
      <c r="AE263" s="139"/>
      <c r="AG263" s="139"/>
      <c r="AH263" s="139"/>
      <c r="AI263" s="139"/>
      <c r="AK263" s="139"/>
      <c r="AL263" s="139"/>
      <c r="AM263" s="139"/>
      <c r="AO263" s="139"/>
      <c r="AP263" s="139"/>
      <c r="AQ263" s="139"/>
      <c r="AS263" s="139"/>
      <c r="AT263" s="139"/>
      <c r="AU263" s="139"/>
      <c r="AW263" s="139"/>
      <c r="AX263" s="139"/>
      <c r="AY263" s="139"/>
      <c r="BA263" s="139"/>
      <c r="BB263" s="139"/>
      <c r="BC263" s="139"/>
      <c r="BE263" s="139"/>
      <c r="BF263" s="139"/>
      <c r="BG263" s="139"/>
      <c r="BI263" s="139"/>
      <c r="BJ263" s="139"/>
      <c r="BK263" s="139"/>
      <c r="BM263" s="139"/>
      <c r="BN263" s="139"/>
      <c r="BO263" s="139"/>
      <c r="BQ263" s="139"/>
      <c r="BR263" s="139"/>
      <c r="BS263" s="139"/>
      <c r="BU263" s="139"/>
      <c r="BV263" s="139"/>
      <c r="BW263" s="139"/>
      <c r="BY263" s="139"/>
      <c r="BZ263" s="139"/>
      <c r="CA263" s="139"/>
      <c r="CC263" s="139"/>
      <c r="CD263" s="139"/>
      <c r="CE263" s="139"/>
      <c r="CG263" s="139"/>
      <c r="CH263" s="139"/>
      <c r="CI263" s="139"/>
    </row>
    <row r="264" ht="15.75" customHeight="1">
      <c r="A264" s="147"/>
      <c r="B264" s="138"/>
      <c r="C264" s="52"/>
      <c r="D264" s="138"/>
      <c r="E264" s="148"/>
      <c r="F264" s="149"/>
      <c r="G264" s="45"/>
      <c r="I264" s="148"/>
      <c r="J264" s="149"/>
      <c r="K264" s="45"/>
      <c r="M264" s="148"/>
      <c r="N264" s="149"/>
      <c r="O264" s="45"/>
      <c r="Q264" s="148"/>
      <c r="R264" s="149"/>
      <c r="S264" s="45"/>
      <c r="U264" s="148"/>
      <c r="V264" s="149"/>
      <c r="W264" s="45"/>
      <c r="Y264" s="148"/>
      <c r="Z264" s="149"/>
      <c r="AA264" s="45"/>
      <c r="AC264" s="148"/>
      <c r="AD264" s="149"/>
      <c r="AE264" s="45"/>
      <c r="AG264" s="148"/>
      <c r="AH264" s="149"/>
      <c r="AI264" s="45"/>
      <c r="AK264" s="148"/>
      <c r="AL264" s="149"/>
      <c r="AM264" s="45"/>
      <c r="AO264" s="148"/>
      <c r="AP264" s="149"/>
      <c r="AQ264" s="45"/>
      <c r="AS264" s="148"/>
      <c r="AT264" s="149"/>
      <c r="AU264" s="45"/>
      <c r="AW264" s="148"/>
      <c r="AX264" s="149"/>
      <c r="AY264" s="45"/>
      <c r="BA264" s="148"/>
      <c r="BB264" s="149"/>
      <c r="BC264" s="45"/>
      <c r="BE264" s="148"/>
      <c r="BF264" s="149"/>
      <c r="BG264" s="45"/>
      <c r="BI264" s="148"/>
      <c r="BJ264" s="149"/>
      <c r="BK264" s="45"/>
      <c r="BM264" s="148"/>
      <c r="BN264" s="149"/>
      <c r="BO264" s="45"/>
      <c r="BQ264" s="148"/>
      <c r="BR264" s="149"/>
      <c r="BS264" s="45"/>
      <c r="BU264" s="148"/>
      <c r="BV264" s="149"/>
      <c r="BW264" s="45"/>
      <c r="BY264" s="148"/>
      <c r="BZ264" s="149"/>
      <c r="CA264" s="45"/>
      <c r="CC264" s="148"/>
      <c r="CD264" s="149"/>
      <c r="CE264" s="45"/>
      <c r="CG264" s="148"/>
      <c r="CH264" s="149"/>
      <c r="CI264" s="45"/>
    </row>
    <row r="265" ht="15.75" customHeight="1">
      <c r="A265" s="147"/>
      <c r="B265" s="140"/>
      <c r="C265" s="57"/>
      <c r="D265" s="140"/>
      <c r="E265" s="138"/>
      <c r="G265" s="52"/>
      <c r="I265" s="138"/>
      <c r="K265" s="52"/>
      <c r="M265" s="138"/>
      <c r="O265" s="52"/>
      <c r="Q265" s="138"/>
      <c r="S265" s="52"/>
      <c r="U265" s="138"/>
      <c r="W265" s="52"/>
      <c r="Y265" s="138"/>
      <c r="AA265" s="52"/>
      <c r="AC265" s="138"/>
      <c r="AE265" s="52"/>
      <c r="AG265" s="138"/>
      <c r="AI265" s="52"/>
      <c r="AK265" s="138"/>
      <c r="AM265" s="52"/>
      <c r="AO265" s="138"/>
      <c r="AQ265" s="52"/>
      <c r="AS265" s="138"/>
      <c r="AU265" s="52"/>
      <c r="AW265" s="138"/>
      <c r="AY265" s="52"/>
      <c r="BA265" s="138"/>
      <c r="BC265" s="52"/>
      <c r="BE265" s="138"/>
      <c r="BG265" s="52"/>
      <c r="BI265" s="138"/>
      <c r="BK265" s="52"/>
      <c r="BM265" s="138"/>
      <c r="BO265" s="52"/>
      <c r="BQ265" s="138"/>
      <c r="BS265" s="52"/>
      <c r="BU265" s="138"/>
      <c r="BW265" s="52"/>
      <c r="BY265" s="138"/>
      <c r="CA265" s="52"/>
      <c r="CC265" s="138"/>
      <c r="CE265" s="52"/>
      <c r="CG265" s="138"/>
      <c r="CI265" s="52"/>
    </row>
    <row r="266" ht="23.25" customHeight="1">
      <c r="A266" s="147"/>
      <c r="B266" s="173" t="s">
        <v>168</v>
      </c>
      <c r="C266" s="174" t="s">
        <v>165</v>
      </c>
      <c r="D266" s="175" t="s">
        <v>164</v>
      </c>
      <c r="E266" s="140"/>
      <c r="F266" s="56"/>
      <c r="G266" s="57"/>
      <c r="I266" s="140"/>
      <c r="J266" s="56"/>
      <c r="K266" s="57"/>
      <c r="M266" s="140"/>
      <c r="N266" s="56"/>
      <c r="O266" s="57"/>
      <c r="Q266" s="140"/>
      <c r="R266" s="56"/>
      <c r="S266" s="57"/>
      <c r="U266" s="140"/>
      <c r="V266" s="56"/>
      <c r="W266" s="57"/>
      <c r="Y266" s="140"/>
      <c r="Z266" s="56"/>
      <c r="AA266" s="57"/>
      <c r="AC266" s="140"/>
      <c r="AD266" s="56"/>
      <c r="AE266" s="57"/>
      <c r="AG266" s="140"/>
      <c r="AH266" s="56"/>
      <c r="AI266" s="57"/>
      <c r="AK266" s="140"/>
      <c r="AL266" s="56"/>
      <c r="AM266" s="57"/>
      <c r="AO266" s="140"/>
      <c r="AP266" s="56"/>
      <c r="AQ266" s="57"/>
      <c r="AS266" s="140"/>
      <c r="AT266" s="56"/>
      <c r="AU266" s="57"/>
      <c r="AW266" s="140"/>
      <c r="AX266" s="56"/>
      <c r="AY266" s="57"/>
      <c r="BA266" s="140"/>
      <c r="BB266" s="56"/>
      <c r="BC266" s="57"/>
      <c r="BE266" s="140"/>
      <c r="BF266" s="56"/>
      <c r="BG266" s="57"/>
      <c r="BI266" s="140"/>
      <c r="BJ266" s="56"/>
      <c r="BK266" s="57"/>
      <c r="BM266" s="140"/>
      <c r="BN266" s="56"/>
      <c r="BO266" s="57"/>
      <c r="BQ266" s="140"/>
      <c r="BR266" s="56"/>
      <c r="BS266" s="57"/>
      <c r="BU266" s="140"/>
      <c r="BV266" s="56"/>
      <c r="BW266" s="57"/>
      <c r="BY266" s="140"/>
      <c r="BZ266" s="56"/>
      <c r="CA266" s="57"/>
      <c r="CC266" s="140"/>
      <c r="CD266" s="56"/>
      <c r="CE266" s="57"/>
      <c r="CG266" s="140"/>
      <c r="CH266" s="56"/>
      <c r="CI266" s="57"/>
    </row>
    <row r="267" ht="25.5" customHeight="1">
      <c r="A267" s="139"/>
      <c r="B267" s="153">
        <v>3.0</v>
      </c>
      <c r="C267" s="161" t="s">
        <v>218</v>
      </c>
      <c r="D267" s="155" t="s">
        <v>174</v>
      </c>
      <c r="E267" s="156" t="s">
        <v>171</v>
      </c>
      <c r="F267" s="38"/>
      <c r="G267" s="157"/>
      <c r="I267" s="156" t="s">
        <v>171</v>
      </c>
      <c r="J267" s="38"/>
      <c r="K267" s="157"/>
      <c r="M267" s="156" t="s">
        <v>171</v>
      </c>
      <c r="N267" s="38"/>
      <c r="O267" s="157"/>
      <c r="Q267" s="156" t="s">
        <v>171</v>
      </c>
      <c r="R267" s="38"/>
      <c r="S267" s="157"/>
      <c r="U267" s="156" t="s">
        <v>171</v>
      </c>
      <c r="V267" s="38"/>
      <c r="W267" s="157"/>
      <c r="Y267" s="156" t="s">
        <v>171</v>
      </c>
      <c r="Z267" s="38"/>
      <c r="AA267" s="157"/>
      <c r="AC267" s="156" t="s">
        <v>171</v>
      </c>
      <c r="AD267" s="38"/>
      <c r="AE267" s="157"/>
      <c r="AG267" s="156" t="s">
        <v>171</v>
      </c>
      <c r="AH267" s="38"/>
      <c r="AI267" s="157"/>
      <c r="AK267" s="156" t="s">
        <v>171</v>
      </c>
      <c r="AL267" s="38"/>
      <c r="AM267" s="157"/>
      <c r="AO267" s="156" t="s">
        <v>171</v>
      </c>
      <c r="AP267" s="38"/>
      <c r="AQ267" s="157"/>
      <c r="AS267" s="156" t="s">
        <v>171</v>
      </c>
      <c r="AT267" s="38"/>
      <c r="AU267" s="157"/>
      <c r="AW267" s="156" t="s">
        <v>171</v>
      </c>
      <c r="AX267" s="38"/>
      <c r="AY267" s="157"/>
      <c r="BA267" s="156" t="s">
        <v>171</v>
      </c>
      <c r="BB267" s="38"/>
      <c r="BC267" s="157"/>
      <c r="BE267" s="156" t="s">
        <v>171</v>
      </c>
      <c r="BF267" s="38"/>
      <c r="BG267" s="157"/>
      <c r="BI267" s="156" t="s">
        <v>171</v>
      </c>
      <c r="BJ267" s="38"/>
      <c r="BK267" s="157"/>
      <c r="BM267" s="156" t="s">
        <v>171</v>
      </c>
      <c r="BN267" s="38"/>
      <c r="BO267" s="157"/>
      <c r="BQ267" s="156" t="s">
        <v>171</v>
      </c>
      <c r="BR267" s="38"/>
      <c r="BS267" s="157"/>
      <c r="BU267" s="156" t="s">
        <v>171</v>
      </c>
      <c r="BV267" s="38"/>
      <c r="BW267" s="157"/>
      <c r="BY267" s="156" t="s">
        <v>171</v>
      </c>
      <c r="BZ267" s="38"/>
      <c r="CA267" s="157"/>
      <c r="CC267" s="156" t="s">
        <v>171</v>
      </c>
      <c r="CD267" s="38"/>
      <c r="CE267" s="157"/>
      <c r="CG267" s="156" t="s">
        <v>171</v>
      </c>
      <c r="CH267" s="38"/>
      <c r="CI267" s="157"/>
    </row>
    <row r="268" ht="9.75" customHeight="1">
      <c r="A268" s="166"/>
      <c r="E268" s="137"/>
      <c r="I268" s="137"/>
      <c r="M268" s="137"/>
      <c r="Q268" s="137"/>
      <c r="U268" s="137"/>
      <c r="Y268" s="137"/>
      <c r="AC268" s="137"/>
      <c r="AG268" s="137"/>
      <c r="AK268" s="137"/>
      <c r="AO268" s="137"/>
      <c r="AS268" s="137"/>
      <c r="AW268" s="137"/>
      <c r="BA268" s="137"/>
      <c r="BE268" s="137"/>
      <c r="BI268" s="137"/>
      <c r="BM268" s="137"/>
      <c r="BQ268" s="137"/>
      <c r="BU268" s="137"/>
      <c r="BY268" s="137"/>
      <c r="CC268" s="137"/>
      <c r="CG268" s="137"/>
    </row>
    <row r="269">
      <c r="A269" s="142" t="b">
        <v>0</v>
      </c>
      <c r="B269" s="165" t="s">
        <v>220</v>
      </c>
      <c r="C269" s="45"/>
      <c r="D269" s="172" t="s">
        <v>38</v>
      </c>
      <c r="E269" s="145" t="s">
        <v>167</v>
      </c>
      <c r="F269" s="146"/>
      <c r="G269" s="146"/>
      <c r="I269" s="145" t="s">
        <v>167</v>
      </c>
      <c r="J269" s="146"/>
      <c r="K269" s="146"/>
      <c r="M269" s="145" t="s">
        <v>167</v>
      </c>
      <c r="N269" s="146"/>
      <c r="O269" s="146"/>
      <c r="Q269" s="145" t="s">
        <v>167</v>
      </c>
      <c r="R269" s="146"/>
      <c r="S269" s="146"/>
      <c r="U269" s="145" t="s">
        <v>167</v>
      </c>
      <c r="V269" s="146"/>
      <c r="W269" s="146"/>
      <c r="Y269" s="145" t="s">
        <v>167</v>
      </c>
      <c r="Z269" s="146"/>
      <c r="AA269" s="146"/>
      <c r="AC269" s="145" t="s">
        <v>167</v>
      </c>
      <c r="AD269" s="146"/>
      <c r="AE269" s="146"/>
      <c r="AG269" s="145" t="s">
        <v>167</v>
      </c>
      <c r="AH269" s="146"/>
      <c r="AI269" s="146"/>
      <c r="AK269" s="145" t="s">
        <v>167</v>
      </c>
      <c r="AL269" s="146"/>
      <c r="AM269" s="146"/>
      <c r="AO269" s="145" t="s">
        <v>167</v>
      </c>
      <c r="AP269" s="146"/>
      <c r="AQ269" s="146"/>
      <c r="AS269" s="145" t="s">
        <v>167</v>
      </c>
      <c r="AT269" s="146"/>
      <c r="AU269" s="146"/>
      <c r="AW269" s="145" t="s">
        <v>167</v>
      </c>
      <c r="AX269" s="146"/>
      <c r="AY269" s="146"/>
      <c r="BA269" s="145" t="s">
        <v>167</v>
      </c>
      <c r="BB269" s="146"/>
      <c r="BC269" s="146"/>
      <c r="BE269" s="145" t="s">
        <v>167</v>
      </c>
      <c r="BF269" s="146"/>
      <c r="BG269" s="146"/>
      <c r="BI269" s="145" t="s">
        <v>167</v>
      </c>
      <c r="BJ269" s="146"/>
      <c r="BK269" s="146"/>
      <c r="BM269" s="145" t="s">
        <v>167</v>
      </c>
      <c r="BN269" s="146"/>
      <c r="BO269" s="146"/>
      <c r="BQ269" s="145" t="s">
        <v>167</v>
      </c>
      <c r="BR269" s="146"/>
      <c r="BS269" s="146"/>
      <c r="BU269" s="145" t="s">
        <v>167</v>
      </c>
      <c r="BV269" s="146"/>
      <c r="BW269" s="146"/>
      <c r="BY269" s="145" t="s">
        <v>167</v>
      </c>
      <c r="BZ269" s="146"/>
      <c r="CA269" s="146"/>
      <c r="CC269" s="145" t="s">
        <v>167</v>
      </c>
      <c r="CD269" s="146"/>
      <c r="CE269" s="146"/>
      <c r="CG269" s="145" t="s">
        <v>167</v>
      </c>
      <c r="CH269" s="146"/>
      <c r="CI269" s="146"/>
    </row>
    <row r="270">
      <c r="A270" s="147"/>
      <c r="B270" s="138"/>
      <c r="C270" s="52"/>
      <c r="D270" s="138"/>
      <c r="E270" s="139"/>
      <c r="F270" s="139"/>
      <c r="G270" s="139"/>
      <c r="I270" s="139"/>
      <c r="J270" s="139"/>
      <c r="K270" s="139"/>
      <c r="M270" s="139"/>
      <c r="N270" s="139"/>
      <c r="O270" s="139"/>
      <c r="Q270" s="139"/>
      <c r="R270" s="139"/>
      <c r="S270" s="139"/>
      <c r="U270" s="139"/>
      <c r="V270" s="139"/>
      <c r="W270" s="139"/>
      <c r="Y270" s="139"/>
      <c r="Z270" s="139"/>
      <c r="AA270" s="139"/>
      <c r="AC270" s="139"/>
      <c r="AD270" s="139"/>
      <c r="AE270" s="139"/>
      <c r="AG270" s="139"/>
      <c r="AH270" s="139"/>
      <c r="AI270" s="139"/>
      <c r="AK270" s="139"/>
      <c r="AL270" s="139"/>
      <c r="AM270" s="139"/>
      <c r="AO270" s="139"/>
      <c r="AP270" s="139"/>
      <c r="AQ270" s="139"/>
      <c r="AS270" s="139"/>
      <c r="AT270" s="139"/>
      <c r="AU270" s="139"/>
      <c r="AW270" s="139"/>
      <c r="AX270" s="139"/>
      <c r="AY270" s="139"/>
      <c r="BA270" s="139"/>
      <c r="BB270" s="139"/>
      <c r="BC270" s="139"/>
      <c r="BE270" s="139"/>
      <c r="BF270" s="139"/>
      <c r="BG270" s="139"/>
      <c r="BI270" s="139"/>
      <c r="BJ270" s="139"/>
      <c r="BK270" s="139"/>
      <c r="BM270" s="139"/>
      <c r="BN270" s="139"/>
      <c r="BO270" s="139"/>
      <c r="BQ270" s="139"/>
      <c r="BR270" s="139"/>
      <c r="BS270" s="139"/>
      <c r="BU270" s="139"/>
      <c r="BV270" s="139"/>
      <c r="BW270" s="139"/>
      <c r="BY270" s="139"/>
      <c r="BZ270" s="139"/>
      <c r="CA270" s="139"/>
      <c r="CC270" s="139"/>
      <c r="CD270" s="139"/>
      <c r="CE270" s="139"/>
      <c r="CG270" s="139"/>
      <c r="CH270" s="139"/>
      <c r="CI270" s="139"/>
    </row>
    <row r="271" ht="15.0" customHeight="1">
      <c r="A271" s="147"/>
      <c r="B271" s="138"/>
      <c r="C271" s="52"/>
      <c r="D271" s="138"/>
      <c r="E271" s="148"/>
      <c r="F271" s="149"/>
      <c r="G271" s="45"/>
      <c r="I271" s="148"/>
      <c r="J271" s="149"/>
      <c r="K271" s="45"/>
      <c r="M271" s="148"/>
      <c r="N271" s="149"/>
      <c r="O271" s="45"/>
      <c r="Q271" s="148"/>
      <c r="R271" s="149"/>
      <c r="S271" s="45"/>
      <c r="U271" s="148"/>
      <c r="V271" s="149"/>
      <c r="W271" s="45"/>
      <c r="Y271" s="148"/>
      <c r="Z271" s="149"/>
      <c r="AA271" s="45"/>
      <c r="AC271" s="148"/>
      <c r="AD271" s="149"/>
      <c r="AE271" s="45"/>
      <c r="AG271" s="148"/>
      <c r="AH271" s="149"/>
      <c r="AI271" s="45"/>
      <c r="AK271" s="148"/>
      <c r="AL271" s="149"/>
      <c r="AM271" s="45"/>
      <c r="AO271" s="148"/>
      <c r="AP271" s="149"/>
      <c r="AQ271" s="45"/>
      <c r="AS271" s="148"/>
      <c r="AT271" s="149"/>
      <c r="AU271" s="45"/>
      <c r="AW271" s="148"/>
      <c r="AX271" s="149"/>
      <c r="AY271" s="45"/>
      <c r="BA271" s="148"/>
      <c r="BB271" s="149"/>
      <c r="BC271" s="45"/>
      <c r="BE271" s="148"/>
      <c r="BF271" s="149"/>
      <c r="BG271" s="45"/>
      <c r="BI271" s="148"/>
      <c r="BJ271" s="149"/>
      <c r="BK271" s="45"/>
      <c r="BM271" s="148"/>
      <c r="BN271" s="149"/>
      <c r="BO271" s="45"/>
      <c r="BQ271" s="148"/>
      <c r="BR271" s="149"/>
      <c r="BS271" s="45"/>
      <c r="BU271" s="148"/>
      <c r="BV271" s="149"/>
      <c r="BW271" s="45"/>
      <c r="BY271" s="148"/>
      <c r="BZ271" s="149"/>
      <c r="CA271" s="45"/>
      <c r="CC271" s="148"/>
      <c r="CD271" s="149"/>
      <c r="CE271" s="45"/>
      <c r="CG271" s="148"/>
      <c r="CH271" s="149"/>
      <c r="CI271" s="45"/>
    </row>
    <row r="272" ht="15.0" customHeight="1">
      <c r="A272" s="147"/>
      <c r="B272" s="140"/>
      <c r="C272" s="57"/>
      <c r="D272" s="140"/>
      <c r="E272" s="138"/>
      <c r="G272" s="52"/>
      <c r="I272" s="138"/>
      <c r="K272" s="52"/>
      <c r="M272" s="138"/>
      <c r="O272" s="52"/>
      <c r="Q272" s="138"/>
      <c r="S272" s="52"/>
      <c r="U272" s="138"/>
      <c r="W272" s="52"/>
      <c r="Y272" s="138"/>
      <c r="AA272" s="52"/>
      <c r="AC272" s="138"/>
      <c r="AE272" s="52"/>
      <c r="AG272" s="138"/>
      <c r="AI272" s="52"/>
      <c r="AK272" s="138"/>
      <c r="AM272" s="52"/>
      <c r="AO272" s="138"/>
      <c r="AQ272" s="52"/>
      <c r="AS272" s="138"/>
      <c r="AU272" s="52"/>
      <c r="AW272" s="138"/>
      <c r="AY272" s="52"/>
      <c r="BA272" s="138"/>
      <c r="BC272" s="52"/>
      <c r="BE272" s="138"/>
      <c r="BG272" s="52"/>
      <c r="BI272" s="138"/>
      <c r="BK272" s="52"/>
      <c r="BM272" s="138"/>
      <c r="BO272" s="52"/>
      <c r="BQ272" s="138"/>
      <c r="BS272" s="52"/>
      <c r="BU272" s="138"/>
      <c r="BW272" s="52"/>
      <c r="BY272" s="138"/>
      <c r="CA272" s="52"/>
      <c r="CC272" s="138"/>
      <c r="CE272" s="52"/>
      <c r="CG272" s="138"/>
      <c r="CI272" s="52"/>
    </row>
    <row r="273" ht="24.0" customHeight="1">
      <c r="A273" s="147"/>
      <c r="B273" s="173" t="s">
        <v>168</v>
      </c>
      <c r="C273" s="174" t="s">
        <v>165</v>
      </c>
      <c r="D273" s="175" t="s">
        <v>164</v>
      </c>
      <c r="E273" s="140"/>
      <c r="F273" s="56"/>
      <c r="G273" s="57"/>
      <c r="I273" s="140"/>
      <c r="J273" s="56"/>
      <c r="K273" s="57"/>
      <c r="M273" s="140"/>
      <c r="N273" s="56"/>
      <c r="O273" s="57"/>
      <c r="Q273" s="140"/>
      <c r="R273" s="56"/>
      <c r="S273" s="57"/>
      <c r="U273" s="140"/>
      <c r="V273" s="56"/>
      <c r="W273" s="57"/>
      <c r="Y273" s="140"/>
      <c r="Z273" s="56"/>
      <c r="AA273" s="57"/>
      <c r="AC273" s="140"/>
      <c r="AD273" s="56"/>
      <c r="AE273" s="57"/>
      <c r="AG273" s="140"/>
      <c r="AH273" s="56"/>
      <c r="AI273" s="57"/>
      <c r="AK273" s="140"/>
      <c r="AL273" s="56"/>
      <c r="AM273" s="57"/>
      <c r="AO273" s="140"/>
      <c r="AP273" s="56"/>
      <c r="AQ273" s="57"/>
      <c r="AS273" s="140"/>
      <c r="AT273" s="56"/>
      <c r="AU273" s="57"/>
      <c r="AW273" s="140"/>
      <c r="AX273" s="56"/>
      <c r="AY273" s="57"/>
      <c r="BA273" s="140"/>
      <c r="BB273" s="56"/>
      <c r="BC273" s="57"/>
      <c r="BE273" s="140"/>
      <c r="BF273" s="56"/>
      <c r="BG273" s="57"/>
      <c r="BI273" s="140"/>
      <c r="BJ273" s="56"/>
      <c r="BK273" s="57"/>
      <c r="BM273" s="140"/>
      <c r="BN273" s="56"/>
      <c r="BO273" s="57"/>
      <c r="BQ273" s="140"/>
      <c r="BR273" s="56"/>
      <c r="BS273" s="57"/>
      <c r="BU273" s="140"/>
      <c r="BV273" s="56"/>
      <c r="BW273" s="57"/>
      <c r="BY273" s="140"/>
      <c r="BZ273" s="56"/>
      <c r="CA273" s="57"/>
      <c r="CC273" s="140"/>
      <c r="CD273" s="56"/>
      <c r="CE273" s="57"/>
      <c r="CG273" s="140"/>
      <c r="CH273" s="56"/>
      <c r="CI273" s="57"/>
    </row>
    <row r="274" ht="26.25" customHeight="1">
      <c r="A274" s="139"/>
      <c r="B274" s="153">
        <v>3.0</v>
      </c>
      <c r="C274" s="161" t="s">
        <v>218</v>
      </c>
      <c r="D274" s="155" t="s">
        <v>174</v>
      </c>
      <c r="E274" s="156" t="s">
        <v>171</v>
      </c>
      <c r="F274" s="38"/>
      <c r="G274" s="157"/>
      <c r="I274" s="156" t="s">
        <v>171</v>
      </c>
      <c r="J274" s="38"/>
      <c r="K274" s="157"/>
      <c r="M274" s="156" t="s">
        <v>171</v>
      </c>
      <c r="N274" s="38"/>
      <c r="O274" s="157"/>
      <c r="Q274" s="156" t="s">
        <v>171</v>
      </c>
      <c r="R274" s="38"/>
      <c r="S274" s="157"/>
      <c r="U274" s="156" t="s">
        <v>171</v>
      </c>
      <c r="V274" s="38"/>
      <c r="W274" s="157"/>
      <c r="Y274" s="156" t="s">
        <v>171</v>
      </c>
      <c r="Z274" s="38"/>
      <c r="AA274" s="157"/>
      <c r="AC274" s="156" t="s">
        <v>171</v>
      </c>
      <c r="AD274" s="38"/>
      <c r="AE274" s="157"/>
      <c r="AG274" s="156" t="s">
        <v>171</v>
      </c>
      <c r="AH274" s="38"/>
      <c r="AI274" s="157"/>
      <c r="AK274" s="156" t="s">
        <v>171</v>
      </c>
      <c r="AL274" s="38"/>
      <c r="AM274" s="157"/>
      <c r="AO274" s="156" t="s">
        <v>171</v>
      </c>
      <c r="AP274" s="38"/>
      <c r="AQ274" s="157"/>
      <c r="AS274" s="156" t="s">
        <v>171</v>
      </c>
      <c r="AT274" s="38"/>
      <c r="AU274" s="157"/>
      <c r="AW274" s="156" t="s">
        <v>171</v>
      </c>
      <c r="AX274" s="38"/>
      <c r="AY274" s="157"/>
      <c r="BA274" s="156" t="s">
        <v>171</v>
      </c>
      <c r="BB274" s="38"/>
      <c r="BC274" s="157"/>
      <c r="BE274" s="156" t="s">
        <v>171</v>
      </c>
      <c r="BF274" s="38"/>
      <c r="BG274" s="157"/>
      <c r="BI274" s="156" t="s">
        <v>171</v>
      </c>
      <c r="BJ274" s="38"/>
      <c r="BK274" s="157"/>
      <c r="BM274" s="156" t="s">
        <v>171</v>
      </c>
      <c r="BN274" s="38"/>
      <c r="BO274" s="157"/>
      <c r="BQ274" s="156" t="s">
        <v>171</v>
      </c>
      <c r="BR274" s="38"/>
      <c r="BS274" s="157"/>
      <c r="BU274" s="156" t="s">
        <v>171</v>
      </c>
      <c r="BV274" s="38"/>
      <c r="BW274" s="157"/>
      <c r="BY274" s="156" t="s">
        <v>171</v>
      </c>
      <c r="BZ274" s="38"/>
      <c r="CA274" s="157"/>
      <c r="CC274" s="156" t="s">
        <v>171</v>
      </c>
      <c r="CD274" s="38"/>
      <c r="CE274" s="157"/>
      <c r="CG274" s="156" t="s">
        <v>171</v>
      </c>
      <c r="CH274" s="38"/>
      <c r="CI274" s="157"/>
    </row>
    <row r="275" ht="9.75" customHeight="1">
      <c r="A275" s="166"/>
      <c r="E275" s="137"/>
      <c r="I275" s="137"/>
      <c r="M275" s="137"/>
      <c r="Q275" s="137"/>
      <c r="U275" s="137"/>
      <c r="Y275" s="137"/>
      <c r="AC275" s="137"/>
      <c r="AG275" s="137"/>
      <c r="AK275" s="137"/>
      <c r="AO275" s="137"/>
      <c r="AS275" s="137"/>
      <c r="AW275" s="137"/>
      <c r="BA275" s="137"/>
      <c r="BE275" s="137"/>
      <c r="BI275" s="137"/>
      <c r="BM275" s="137"/>
      <c r="BQ275" s="137"/>
      <c r="BU275" s="137"/>
      <c r="BY275" s="137"/>
      <c r="CC275" s="137"/>
      <c r="CG275" s="137"/>
    </row>
    <row r="276">
      <c r="A276" s="142" t="b">
        <v>0</v>
      </c>
      <c r="B276" s="143" t="s">
        <v>221</v>
      </c>
      <c r="C276" s="45"/>
      <c r="D276" s="172" t="s">
        <v>38</v>
      </c>
      <c r="E276" s="145" t="s">
        <v>167</v>
      </c>
      <c r="F276" s="146"/>
      <c r="G276" s="146"/>
      <c r="I276" s="145" t="s">
        <v>167</v>
      </c>
      <c r="J276" s="146"/>
      <c r="K276" s="146"/>
      <c r="M276" s="145" t="s">
        <v>167</v>
      </c>
      <c r="N276" s="146"/>
      <c r="O276" s="146"/>
      <c r="Q276" s="145" t="s">
        <v>167</v>
      </c>
      <c r="R276" s="146"/>
      <c r="S276" s="146"/>
      <c r="U276" s="145" t="s">
        <v>167</v>
      </c>
      <c r="V276" s="146"/>
      <c r="W276" s="146"/>
      <c r="Y276" s="145" t="s">
        <v>167</v>
      </c>
      <c r="Z276" s="146"/>
      <c r="AA276" s="146"/>
      <c r="AC276" s="145" t="s">
        <v>167</v>
      </c>
      <c r="AD276" s="146"/>
      <c r="AE276" s="146"/>
      <c r="AG276" s="145" t="s">
        <v>167</v>
      </c>
      <c r="AH276" s="146"/>
      <c r="AI276" s="146"/>
      <c r="AK276" s="145" t="s">
        <v>167</v>
      </c>
      <c r="AL276" s="146"/>
      <c r="AM276" s="146"/>
      <c r="AO276" s="145" t="s">
        <v>167</v>
      </c>
      <c r="AP276" s="146"/>
      <c r="AQ276" s="146"/>
      <c r="AS276" s="145" t="s">
        <v>167</v>
      </c>
      <c r="AT276" s="146"/>
      <c r="AU276" s="146"/>
      <c r="AW276" s="145" t="s">
        <v>167</v>
      </c>
      <c r="AX276" s="146"/>
      <c r="AY276" s="146"/>
      <c r="BA276" s="145" t="s">
        <v>167</v>
      </c>
      <c r="BB276" s="146"/>
      <c r="BC276" s="146"/>
      <c r="BE276" s="145" t="s">
        <v>167</v>
      </c>
      <c r="BF276" s="146"/>
      <c r="BG276" s="146"/>
      <c r="BI276" s="145" t="s">
        <v>167</v>
      </c>
      <c r="BJ276" s="146"/>
      <c r="BK276" s="146"/>
      <c r="BM276" s="145" t="s">
        <v>167</v>
      </c>
      <c r="BN276" s="146"/>
      <c r="BO276" s="146"/>
      <c r="BQ276" s="145" t="s">
        <v>167</v>
      </c>
      <c r="BR276" s="146"/>
      <c r="BS276" s="146"/>
      <c r="BU276" s="145" t="s">
        <v>167</v>
      </c>
      <c r="BV276" s="146"/>
      <c r="BW276" s="146"/>
      <c r="BY276" s="145" t="s">
        <v>167</v>
      </c>
      <c r="BZ276" s="146"/>
      <c r="CA276" s="146"/>
      <c r="CC276" s="145" t="s">
        <v>167</v>
      </c>
      <c r="CD276" s="146"/>
      <c r="CE276" s="146"/>
      <c r="CG276" s="145" t="s">
        <v>167</v>
      </c>
      <c r="CH276" s="146"/>
      <c r="CI276" s="146"/>
    </row>
    <row r="277">
      <c r="A277" s="147"/>
      <c r="B277" s="138"/>
      <c r="C277" s="52"/>
      <c r="D277" s="138"/>
      <c r="E277" s="139"/>
      <c r="F277" s="139"/>
      <c r="G277" s="139"/>
      <c r="I277" s="139"/>
      <c r="J277" s="139"/>
      <c r="K277" s="139"/>
      <c r="M277" s="139"/>
      <c r="N277" s="139"/>
      <c r="O277" s="139"/>
      <c r="Q277" s="139"/>
      <c r="R277" s="139"/>
      <c r="S277" s="139"/>
      <c r="U277" s="139"/>
      <c r="V277" s="139"/>
      <c r="W277" s="139"/>
      <c r="Y277" s="139"/>
      <c r="Z277" s="139"/>
      <c r="AA277" s="139"/>
      <c r="AC277" s="139"/>
      <c r="AD277" s="139"/>
      <c r="AE277" s="139"/>
      <c r="AG277" s="139"/>
      <c r="AH277" s="139"/>
      <c r="AI277" s="139"/>
      <c r="AK277" s="139"/>
      <c r="AL277" s="139"/>
      <c r="AM277" s="139"/>
      <c r="AO277" s="139"/>
      <c r="AP277" s="139"/>
      <c r="AQ277" s="139"/>
      <c r="AS277" s="139"/>
      <c r="AT277" s="139"/>
      <c r="AU277" s="139"/>
      <c r="AW277" s="139"/>
      <c r="AX277" s="139"/>
      <c r="AY277" s="139"/>
      <c r="BA277" s="139"/>
      <c r="BB277" s="139"/>
      <c r="BC277" s="139"/>
      <c r="BE277" s="139"/>
      <c r="BF277" s="139"/>
      <c r="BG277" s="139"/>
      <c r="BI277" s="139"/>
      <c r="BJ277" s="139"/>
      <c r="BK277" s="139"/>
      <c r="BM277" s="139"/>
      <c r="BN277" s="139"/>
      <c r="BO277" s="139"/>
      <c r="BQ277" s="139"/>
      <c r="BR277" s="139"/>
      <c r="BS277" s="139"/>
      <c r="BU277" s="139"/>
      <c r="BV277" s="139"/>
      <c r="BW277" s="139"/>
      <c r="BY277" s="139"/>
      <c r="BZ277" s="139"/>
      <c r="CA277" s="139"/>
      <c r="CC277" s="139"/>
      <c r="CD277" s="139"/>
      <c r="CE277" s="139"/>
      <c r="CG277" s="139"/>
      <c r="CH277" s="139"/>
      <c r="CI277" s="139"/>
    </row>
    <row r="278" ht="19.5" customHeight="1">
      <c r="A278" s="147"/>
      <c r="B278" s="138"/>
      <c r="C278" s="52"/>
      <c r="D278" s="138"/>
      <c r="E278" s="148"/>
      <c r="F278" s="149"/>
      <c r="G278" s="45"/>
      <c r="I278" s="148"/>
      <c r="J278" s="149"/>
      <c r="K278" s="45"/>
      <c r="M278" s="148"/>
      <c r="N278" s="149"/>
      <c r="O278" s="45"/>
      <c r="Q278" s="148"/>
      <c r="R278" s="149"/>
      <c r="S278" s="45"/>
      <c r="U278" s="148"/>
      <c r="V278" s="149"/>
      <c r="W278" s="45"/>
      <c r="Y278" s="148"/>
      <c r="Z278" s="149"/>
      <c r="AA278" s="45"/>
      <c r="AC278" s="148"/>
      <c r="AD278" s="149"/>
      <c r="AE278" s="45"/>
      <c r="AG278" s="148"/>
      <c r="AH278" s="149"/>
      <c r="AI278" s="45"/>
      <c r="AK278" s="148"/>
      <c r="AL278" s="149"/>
      <c r="AM278" s="45"/>
      <c r="AO278" s="148"/>
      <c r="AP278" s="149"/>
      <c r="AQ278" s="45"/>
      <c r="AS278" s="148"/>
      <c r="AT278" s="149"/>
      <c r="AU278" s="45"/>
      <c r="AW278" s="148"/>
      <c r="AX278" s="149"/>
      <c r="AY278" s="45"/>
      <c r="BA278" s="148"/>
      <c r="BB278" s="149"/>
      <c r="BC278" s="45"/>
      <c r="BE278" s="148"/>
      <c r="BF278" s="149"/>
      <c r="BG278" s="45"/>
      <c r="BI278" s="148"/>
      <c r="BJ278" s="149"/>
      <c r="BK278" s="45"/>
      <c r="BM278" s="148"/>
      <c r="BN278" s="149"/>
      <c r="BO278" s="45"/>
      <c r="BQ278" s="148"/>
      <c r="BR278" s="149"/>
      <c r="BS278" s="45"/>
      <c r="BU278" s="148"/>
      <c r="BV278" s="149"/>
      <c r="BW278" s="45"/>
      <c r="BY278" s="148"/>
      <c r="BZ278" s="149"/>
      <c r="CA278" s="45"/>
      <c r="CC278" s="148"/>
      <c r="CD278" s="149"/>
      <c r="CE278" s="45"/>
      <c r="CG278" s="148"/>
      <c r="CH278" s="149"/>
      <c r="CI278" s="45"/>
    </row>
    <row r="279" ht="19.5" customHeight="1">
      <c r="A279" s="147"/>
      <c r="B279" s="140"/>
      <c r="C279" s="57"/>
      <c r="D279" s="140"/>
      <c r="E279" s="138"/>
      <c r="G279" s="52"/>
      <c r="I279" s="138"/>
      <c r="K279" s="52"/>
      <c r="M279" s="138"/>
      <c r="O279" s="52"/>
      <c r="Q279" s="138"/>
      <c r="S279" s="52"/>
      <c r="U279" s="138"/>
      <c r="W279" s="52"/>
      <c r="Y279" s="138"/>
      <c r="AA279" s="52"/>
      <c r="AC279" s="138"/>
      <c r="AE279" s="52"/>
      <c r="AG279" s="138"/>
      <c r="AI279" s="52"/>
      <c r="AK279" s="138"/>
      <c r="AM279" s="52"/>
      <c r="AO279" s="138"/>
      <c r="AQ279" s="52"/>
      <c r="AS279" s="138"/>
      <c r="AU279" s="52"/>
      <c r="AW279" s="138"/>
      <c r="AY279" s="52"/>
      <c r="BA279" s="138"/>
      <c r="BC279" s="52"/>
      <c r="BE279" s="138"/>
      <c r="BG279" s="52"/>
      <c r="BI279" s="138"/>
      <c r="BK279" s="52"/>
      <c r="BM279" s="138"/>
      <c r="BO279" s="52"/>
      <c r="BQ279" s="138"/>
      <c r="BS279" s="52"/>
      <c r="BU279" s="138"/>
      <c r="BW279" s="52"/>
      <c r="BY279" s="138"/>
      <c r="CA279" s="52"/>
      <c r="CC279" s="138"/>
      <c r="CE279" s="52"/>
      <c r="CG279" s="138"/>
      <c r="CI279" s="52"/>
    </row>
    <row r="280" ht="25.5" customHeight="1">
      <c r="A280" s="147"/>
      <c r="B280" s="173" t="s">
        <v>168</v>
      </c>
      <c r="C280" s="174" t="s">
        <v>165</v>
      </c>
      <c r="D280" s="175" t="s">
        <v>164</v>
      </c>
      <c r="E280" s="140"/>
      <c r="F280" s="56"/>
      <c r="G280" s="57"/>
      <c r="I280" s="140"/>
      <c r="J280" s="56"/>
      <c r="K280" s="57"/>
      <c r="M280" s="140"/>
      <c r="N280" s="56"/>
      <c r="O280" s="57"/>
      <c r="Q280" s="140"/>
      <c r="R280" s="56"/>
      <c r="S280" s="57"/>
      <c r="U280" s="140"/>
      <c r="V280" s="56"/>
      <c r="W280" s="57"/>
      <c r="Y280" s="140"/>
      <c r="Z280" s="56"/>
      <c r="AA280" s="57"/>
      <c r="AC280" s="140"/>
      <c r="AD280" s="56"/>
      <c r="AE280" s="57"/>
      <c r="AG280" s="140"/>
      <c r="AH280" s="56"/>
      <c r="AI280" s="57"/>
      <c r="AK280" s="140"/>
      <c r="AL280" s="56"/>
      <c r="AM280" s="57"/>
      <c r="AO280" s="140"/>
      <c r="AP280" s="56"/>
      <c r="AQ280" s="57"/>
      <c r="AS280" s="140"/>
      <c r="AT280" s="56"/>
      <c r="AU280" s="57"/>
      <c r="AW280" s="140"/>
      <c r="AX280" s="56"/>
      <c r="AY280" s="57"/>
      <c r="BA280" s="140"/>
      <c r="BB280" s="56"/>
      <c r="BC280" s="57"/>
      <c r="BE280" s="140"/>
      <c r="BF280" s="56"/>
      <c r="BG280" s="57"/>
      <c r="BI280" s="140"/>
      <c r="BJ280" s="56"/>
      <c r="BK280" s="57"/>
      <c r="BM280" s="140"/>
      <c r="BN280" s="56"/>
      <c r="BO280" s="57"/>
      <c r="BQ280" s="140"/>
      <c r="BR280" s="56"/>
      <c r="BS280" s="57"/>
      <c r="BU280" s="140"/>
      <c r="BV280" s="56"/>
      <c r="BW280" s="57"/>
      <c r="BY280" s="140"/>
      <c r="BZ280" s="56"/>
      <c r="CA280" s="57"/>
      <c r="CC280" s="140"/>
      <c r="CD280" s="56"/>
      <c r="CE280" s="57"/>
      <c r="CG280" s="140"/>
      <c r="CH280" s="56"/>
      <c r="CI280" s="57"/>
    </row>
    <row r="281" ht="28.5" customHeight="1">
      <c r="A281" s="139"/>
      <c r="B281" s="153">
        <v>3.0</v>
      </c>
      <c r="C281" s="161" t="s">
        <v>173</v>
      </c>
      <c r="D281" s="155" t="s">
        <v>222</v>
      </c>
      <c r="E281" s="156" t="s">
        <v>171</v>
      </c>
      <c r="F281" s="38"/>
      <c r="G281" s="157"/>
      <c r="I281" s="156" t="s">
        <v>171</v>
      </c>
      <c r="J281" s="38"/>
      <c r="K281" s="157"/>
      <c r="M281" s="156" t="s">
        <v>171</v>
      </c>
      <c r="N281" s="38"/>
      <c r="O281" s="157"/>
      <c r="Q281" s="156" t="s">
        <v>171</v>
      </c>
      <c r="R281" s="38"/>
      <c r="S281" s="157"/>
      <c r="U281" s="156" t="s">
        <v>171</v>
      </c>
      <c r="V281" s="38"/>
      <c r="W281" s="157"/>
      <c r="Y281" s="156" t="s">
        <v>171</v>
      </c>
      <c r="Z281" s="38"/>
      <c r="AA281" s="157"/>
      <c r="AC281" s="156" t="s">
        <v>171</v>
      </c>
      <c r="AD281" s="38"/>
      <c r="AE281" s="157"/>
      <c r="AG281" s="156" t="s">
        <v>171</v>
      </c>
      <c r="AH281" s="38"/>
      <c r="AI281" s="157"/>
      <c r="AK281" s="156" t="s">
        <v>171</v>
      </c>
      <c r="AL281" s="38"/>
      <c r="AM281" s="157"/>
      <c r="AO281" s="156" t="s">
        <v>171</v>
      </c>
      <c r="AP281" s="38"/>
      <c r="AQ281" s="157"/>
      <c r="AS281" s="156" t="s">
        <v>171</v>
      </c>
      <c r="AT281" s="38"/>
      <c r="AU281" s="157"/>
      <c r="AW281" s="156" t="s">
        <v>171</v>
      </c>
      <c r="AX281" s="38"/>
      <c r="AY281" s="157"/>
      <c r="BA281" s="156" t="s">
        <v>171</v>
      </c>
      <c r="BB281" s="38"/>
      <c r="BC281" s="157"/>
      <c r="BE281" s="156" t="s">
        <v>171</v>
      </c>
      <c r="BF281" s="38"/>
      <c r="BG281" s="157"/>
      <c r="BI281" s="156" t="s">
        <v>171</v>
      </c>
      <c r="BJ281" s="38"/>
      <c r="BK281" s="157"/>
      <c r="BM281" s="156" t="s">
        <v>171</v>
      </c>
      <c r="BN281" s="38"/>
      <c r="BO281" s="157"/>
      <c r="BQ281" s="156" t="s">
        <v>171</v>
      </c>
      <c r="BR281" s="38"/>
      <c r="BS281" s="157"/>
      <c r="BU281" s="156" t="s">
        <v>171</v>
      </c>
      <c r="BV281" s="38"/>
      <c r="BW281" s="157"/>
      <c r="BY281" s="156" t="s">
        <v>171</v>
      </c>
      <c r="BZ281" s="38"/>
      <c r="CA281" s="157"/>
      <c r="CC281" s="156" t="s">
        <v>171</v>
      </c>
      <c r="CD281" s="38"/>
      <c r="CE281" s="157"/>
      <c r="CG281" s="156" t="s">
        <v>171</v>
      </c>
      <c r="CH281" s="38"/>
      <c r="CI281" s="157"/>
    </row>
    <row r="282" ht="9.75" customHeight="1">
      <c r="A282" s="166"/>
      <c r="E282" s="137"/>
      <c r="I282" s="137"/>
      <c r="M282" s="137"/>
      <c r="Q282" s="137"/>
      <c r="U282" s="137"/>
      <c r="Y282" s="137"/>
      <c r="AC282" s="137"/>
      <c r="AG282" s="137"/>
      <c r="AK282" s="137"/>
      <c r="AO282" s="137"/>
      <c r="AS282" s="137"/>
      <c r="AW282" s="137"/>
      <c r="BA282" s="137"/>
      <c r="BE282" s="137"/>
      <c r="BI282" s="137"/>
      <c r="BM282" s="137"/>
      <c r="BQ282" s="137"/>
      <c r="BU282" s="137"/>
      <c r="BY282" s="137"/>
      <c r="CC282" s="137"/>
      <c r="CG282" s="137"/>
    </row>
    <row r="283">
      <c r="A283" s="142" t="b">
        <v>0</v>
      </c>
      <c r="B283" s="143" t="s">
        <v>223</v>
      </c>
      <c r="C283" s="45"/>
      <c r="D283" s="172" t="s">
        <v>38</v>
      </c>
      <c r="E283" s="145" t="s">
        <v>167</v>
      </c>
      <c r="F283" s="146"/>
      <c r="G283" s="146"/>
      <c r="I283" s="145" t="s">
        <v>167</v>
      </c>
      <c r="J283" s="146"/>
      <c r="K283" s="146"/>
      <c r="M283" s="145" t="s">
        <v>167</v>
      </c>
      <c r="N283" s="146"/>
      <c r="O283" s="146"/>
      <c r="Q283" s="145" t="s">
        <v>167</v>
      </c>
      <c r="R283" s="146"/>
      <c r="S283" s="146"/>
      <c r="U283" s="145" t="s">
        <v>167</v>
      </c>
      <c r="V283" s="146"/>
      <c r="W283" s="146"/>
      <c r="Y283" s="145" t="s">
        <v>167</v>
      </c>
      <c r="Z283" s="146"/>
      <c r="AA283" s="146"/>
      <c r="AC283" s="145" t="s">
        <v>167</v>
      </c>
      <c r="AD283" s="146"/>
      <c r="AE283" s="146"/>
      <c r="AG283" s="145" t="s">
        <v>167</v>
      </c>
      <c r="AH283" s="146"/>
      <c r="AI283" s="146"/>
      <c r="AK283" s="145" t="s">
        <v>167</v>
      </c>
      <c r="AL283" s="146"/>
      <c r="AM283" s="146"/>
      <c r="AO283" s="145" t="s">
        <v>167</v>
      </c>
      <c r="AP283" s="146"/>
      <c r="AQ283" s="146"/>
      <c r="AS283" s="145" t="s">
        <v>167</v>
      </c>
      <c r="AT283" s="146"/>
      <c r="AU283" s="146"/>
      <c r="AW283" s="145" t="s">
        <v>167</v>
      </c>
      <c r="AX283" s="146"/>
      <c r="AY283" s="146"/>
      <c r="BA283" s="145" t="s">
        <v>167</v>
      </c>
      <c r="BB283" s="146"/>
      <c r="BC283" s="146"/>
      <c r="BE283" s="145" t="s">
        <v>167</v>
      </c>
      <c r="BF283" s="146"/>
      <c r="BG283" s="146"/>
      <c r="BI283" s="145" t="s">
        <v>167</v>
      </c>
      <c r="BJ283" s="146"/>
      <c r="BK283" s="146"/>
      <c r="BM283" s="145" t="s">
        <v>167</v>
      </c>
      <c r="BN283" s="146"/>
      <c r="BO283" s="146"/>
      <c r="BQ283" s="145" t="s">
        <v>167</v>
      </c>
      <c r="BR283" s="146"/>
      <c r="BS283" s="146"/>
      <c r="BU283" s="145" t="s">
        <v>167</v>
      </c>
      <c r="BV283" s="146"/>
      <c r="BW283" s="146"/>
      <c r="BY283" s="145" t="s">
        <v>167</v>
      </c>
      <c r="BZ283" s="146"/>
      <c r="CA283" s="146"/>
      <c r="CC283" s="145" t="s">
        <v>167</v>
      </c>
      <c r="CD283" s="146"/>
      <c r="CE283" s="146"/>
      <c r="CG283" s="145" t="s">
        <v>167</v>
      </c>
      <c r="CH283" s="146"/>
      <c r="CI283" s="146"/>
    </row>
    <row r="284">
      <c r="A284" s="147"/>
      <c r="B284" s="138"/>
      <c r="C284" s="52"/>
      <c r="D284" s="138"/>
      <c r="E284" s="139"/>
      <c r="F284" s="139"/>
      <c r="G284" s="139"/>
      <c r="I284" s="139"/>
      <c r="J284" s="139"/>
      <c r="K284" s="139"/>
      <c r="M284" s="139"/>
      <c r="N284" s="139"/>
      <c r="O284" s="139"/>
      <c r="Q284" s="139"/>
      <c r="R284" s="139"/>
      <c r="S284" s="139"/>
      <c r="U284" s="139"/>
      <c r="V284" s="139"/>
      <c r="W284" s="139"/>
      <c r="Y284" s="139"/>
      <c r="Z284" s="139"/>
      <c r="AA284" s="139"/>
      <c r="AC284" s="139"/>
      <c r="AD284" s="139"/>
      <c r="AE284" s="139"/>
      <c r="AG284" s="139"/>
      <c r="AH284" s="139"/>
      <c r="AI284" s="139"/>
      <c r="AK284" s="139"/>
      <c r="AL284" s="139"/>
      <c r="AM284" s="139"/>
      <c r="AO284" s="139"/>
      <c r="AP284" s="139"/>
      <c r="AQ284" s="139"/>
      <c r="AS284" s="139"/>
      <c r="AT284" s="139"/>
      <c r="AU284" s="139"/>
      <c r="AW284" s="139"/>
      <c r="AX284" s="139"/>
      <c r="AY284" s="139"/>
      <c r="BA284" s="139"/>
      <c r="BB284" s="139"/>
      <c r="BC284" s="139"/>
      <c r="BE284" s="139"/>
      <c r="BF284" s="139"/>
      <c r="BG284" s="139"/>
      <c r="BI284" s="139"/>
      <c r="BJ284" s="139"/>
      <c r="BK284" s="139"/>
      <c r="BM284" s="139"/>
      <c r="BN284" s="139"/>
      <c r="BO284" s="139"/>
      <c r="BQ284" s="139"/>
      <c r="BR284" s="139"/>
      <c r="BS284" s="139"/>
      <c r="BU284" s="139"/>
      <c r="BV284" s="139"/>
      <c r="BW284" s="139"/>
      <c r="BY284" s="139"/>
      <c r="BZ284" s="139"/>
      <c r="CA284" s="139"/>
      <c r="CC284" s="139"/>
      <c r="CD284" s="139"/>
      <c r="CE284" s="139"/>
      <c r="CG284" s="139"/>
      <c r="CH284" s="139"/>
      <c r="CI284" s="139"/>
    </row>
    <row r="285" ht="16.5" customHeight="1">
      <c r="A285" s="147"/>
      <c r="B285" s="138"/>
      <c r="C285" s="52"/>
      <c r="D285" s="138"/>
      <c r="E285" s="148"/>
      <c r="F285" s="149"/>
      <c r="G285" s="45"/>
      <c r="I285" s="148"/>
      <c r="J285" s="149"/>
      <c r="K285" s="45"/>
      <c r="M285" s="148"/>
      <c r="N285" s="149"/>
      <c r="O285" s="45"/>
      <c r="Q285" s="148"/>
      <c r="R285" s="149"/>
      <c r="S285" s="45"/>
      <c r="U285" s="148"/>
      <c r="V285" s="149"/>
      <c r="W285" s="45"/>
      <c r="Y285" s="148"/>
      <c r="Z285" s="149"/>
      <c r="AA285" s="45"/>
      <c r="AC285" s="148"/>
      <c r="AD285" s="149"/>
      <c r="AE285" s="45"/>
      <c r="AG285" s="148"/>
      <c r="AH285" s="149"/>
      <c r="AI285" s="45"/>
      <c r="AK285" s="148"/>
      <c r="AL285" s="149"/>
      <c r="AM285" s="45"/>
      <c r="AO285" s="148"/>
      <c r="AP285" s="149"/>
      <c r="AQ285" s="45"/>
      <c r="AS285" s="148"/>
      <c r="AT285" s="149"/>
      <c r="AU285" s="45"/>
      <c r="AW285" s="148"/>
      <c r="AX285" s="149"/>
      <c r="AY285" s="45"/>
      <c r="BA285" s="148"/>
      <c r="BB285" s="149"/>
      <c r="BC285" s="45"/>
      <c r="BE285" s="148"/>
      <c r="BF285" s="149"/>
      <c r="BG285" s="45"/>
      <c r="BI285" s="148"/>
      <c r="BJ285" s="149"/>
      <c r="BK285" s="45"/>
      <c r="BM285" s="148"/>
      <c r="BN285" s="149"/>
      <c r="BO285" s="45"/>
      <c r="BQ285" s="148"/>
      <c r="BR285" s="149"/>
      <c r="BS285" s="45"/>
      <c r="BU285" s="148"/>
      <c r="BV285" s="149"/>
      <c r="BW285" s="45"/>
      <c r="BY285" s="148"/>
      <c r="BZ285" s="149"/>
      <c r="CA285" s="45"/>
      <c r="CC285" s="148"/>
      <c r="CD285" s="149"/>
      <c r="CE285" s="45"/>
      <c r="CG285" s="148"/>
      <c r="CH285" s="149"/>
      <c r="CI285" s="45"/>
    </row>
    <row r="286" ht="16.5" customHeight="1">
      <c r="A286" s="147"/>
      <c r="B286" s="140"/>
      <c r="C286" s="57"/>
      <c r="D286" s="140"/>
      <c r="E286" s="138"/>
      <c r="G286" s="52"/>
      <c r="I286" s="138"/>
      <c r="K286" s="52"/>
      <c r="M286" s="138"/>
      <c r="O286" s="52"/>
      <c r="Q286" s="138"/>
      <c r="S286" s="52"/>
      <c r="U286" s="138"/>
      <c r="W286" s="52"/>
      <c r="Y286" s="138"/>
      <c r="AA286" s="52"/>
      <c r="AC286" s="138"/>
      <c r="AE286" s="52"/>
      <c r="AG286" s="138"/>
      <c r="AI286" s="52"/>
      <c r="AK286" s="138"/>
      <c r="AM286" s="52"/>
      <c r="AO286" s="138"/>
      <c r="AQ286" s="52"/>
      <c r="AS286" s="138"/>
      <c r="AU286" s="52"/>
      <c r="AW286" s="138"/>
      <c r="AY286" s="52"/>
      <c r="BA286" s="138"/>
      <c r="BC286" s="52"/>
      <c r="BE286" s="138"/>
      <c r="BG286" s="52"/>
      <c r="BI286" s="138"/>
      <c r="BK286" s="52"/>
      <c r="BM286" s="138"/>
      <c r="BO286" s="52"/>
      <c r="BQ286" s="138"/>
      <c r="BS286" s="52"/>
      <c r="BU286" s="138"/>
      <c r="BW286" s="52"/>
      <c r="BY286" s="138"/>
      <c r="CA286" s="52"/>
      <c r="CC286" s="138"/>
      <c r="CE286" s="52"/>
      <c r="CG286" s="138"/>
      <c r="CI286" s="52"/>
    </row>
    <row r="287" ht="23.25" customHeight="1">
      <c r="A287" s="147"/>
      <c r="B287" s="173" t="s">
        <v>168</v>
      </c>
      <c r="C287" s="174" t="s">
        <v>165</v>
      </c>
      <c r="D287" s="175" t="s">
        <v>164</v>
      </c>
      <c r="E287" s="140"/>
      <c r="F287" s="56"/>
      <c r="G287" s="57"/>
      <c r="I287" s="140"/>
      <c r="J287" s="56"/>
      <c r="K287" s="57"/>
      <c r="M287" s="140"/>
      <c r="N287" s="56"/>
      <c r="O287" s="57"/>
      <c r="Q287" s="140"/>
      <c r="R287" s="56"/>
      <c r="S287" s="57"/>
      <c r="U287" s="140"/>
      <c r="V287" s="56"/>
      <c r="W287" s="57"/>
      <c r="Y287" s="140"/>
      <c r="Z287" s="56"/>
      <c r="AA287" s="57"/>
      <c r="AC287" s="140"/>
      <c r="AD287" s="56"/>
      <c r="AE287" s="57"/>
      <c r="AG287" s="140"/>
      <c r="AH287" s="56"/>
      <c r="AI287" s="57"/>
      <c r="AK287" s="140"/>
      <c r="AL287" s="56"/>
      <c r="AM287" s="57"/>
      <c r="AO287" s="140"/>
      <c r="AP287" s="56"/>
      <c r="AQ287" s="57"/>
      <c r="AS287" s="140"/>
      <c r="AT287" s="56"/>
      <c r="AU287" s="57"/>
      <c r="AW287" s="140"/>
      <c r="AX287" s="56"/>
      <c r="AY287" s="57"/>
      <c r="BA287" s="140"/>
      <c r="BB287" s="56"/>
      <c r="BC287" s="57"/>
      <c r="BE287" s="140"/>
      <c r="BF287" s="56"/>
      <c r="BG287" s="57"/>
      <c r="BI287" s="140"/>
      <c r="BJ287" s="56"/>
      <c r="BK287" s="57"/>
      <c r="BM287" s="140"/>
      <c r="BN287" s="56"/>
      <c r="BO287" s="57"/>
      <c r="BQ287" s="140"/>
      <c r="BR287" s="56"/>
      <c r="BS287" s="57"/>
      <c r="BU287" s="140"/>
      <c r="BV287" s="56"/>
      <c r="BW287" s="57"/>
      <c r="BY287" s="140"/>
      <c r="BZ287" s="56"/>
      <c r="CA287" s="57"/>
      <c r="CC287" s="140"/>
      <c r="CD287" s="56"/>
      <c r="CE287" s="57"/>
      <c r="CG287" s="140"/>
      <c r="CH287" s="56"/>
      <c r="CI287" s="57"/>
    </row>
    <row r="288" ht="24.75" customHeight="1">
      <c r="A288" s="139"/>
      <c r="B288" s="153">
        <v>3.0</v>
      </c>
      <c r="C288" s="161" t="s">
        <v>218</v>
      </c>
      <c r="D288" s="155" t="s">
        <v>174</v>
      </c>
      <c r="E288" s="156" t="s">
        <v>171</v>
      </c>
      <c r="F288" s="38"/>
      <c r="G288" s="157"/>
      <c r="I288" s="156" t="s">
        <v>171</v>
      </c>
      <c r="J288" s="38"/>
      <c r="K288" s="157"/>
      <c r="M288" s="156" t="s">
        <v>171</v>
      </c>
      <c r="N288" s="38"/>
      <c r="O288" s="157"/>
      <c r="Q288" s="156" t="s">
        <v>171</v>
      </c>
      <c r="R288" s="38"/>
      <c r="S288" s="157"/>
      <c r="U288" s="156" t="s">
        <v>171</v>
      </c>
      <c r="V288" s="38"/>
      <c r="W288" s="157"/>
      <c r="Y288" s="156" t="s">
        <v>171</v>
      </c>
      <c r="Z288" s="38"/>
      <c r="AA288" s="157"/>
      <c r="AC288" s="156" t="s">
        <v>171</v>
      </c>
      <c r="AD288" s="38"/>
      <c r="AE288" s="157"/>
      <c r="AG288" s="156" t="s">
        <v>171</v>
      </c>
      <c r="AH288" s="38"/>
      <c r="AI288" s="157"/>
      <c r="AK288" s="156" t="s">
        <v>171</v>
      </c>
      <c r="AL288" s="38"/>
      <c r="AM288" s="157"/>
      <c r="AO288" s="156" t="s">
        <v>171</v>
      </c>
      <c r="AP288" s="38"/>
      <c r="AQ288" s="157"/>
      <c r="AS288" s="156" t="s">
        <v>171</v>
      </c>
      <c r="AT288" s="38"/>
      <c r="AU288" s="157"/>
      <c r="AW288" s="156" t="s">
        <v>171</v>
      </c>
      <c r="AX288" s="38"/>
      <c r="AY288" s="157"/>
      <c r="BA288" s="156" t="s">
        <v>171</v>
      </c>
      <c r="BB288" s="38"/>
      <c r="BC288" s="157"/>
      <c r="BE288" s="156" t="s">
        <v>171</v>
      </c>
      <c r="BF288" s="38"/>
      <c r="BG288" s="157"/>
      <c r="BI288" s="156" t="s">
        <v>171</v>
      </c>
      <c r="BJ288" s="38"/>
      <c r="BK288" s="157"/>
      <c r="BM288" s="156" t="s">
        <v>171</v>
      </c>
      <c r="BN288" s="38"/>
      <c r="BO288" s="157"/>
      <c r="BQ288" s="156" t="s">
        <v>171</v>
      </c>
      <c r="BR288" s="38"/>
      <c r="BS288" s="157"/>
      <c r="BU288" s="156" t="s">
        <v>171</v>
      </c>
      <c r="BV288" s="38"/>
      <c r="BW288" s="157"/>
      <c r="BY288" s="156" t="s">
        <v>171</v>
      </c>
      <c r="BZ288" s="38"/>
      <c r="CA288" s="157"/>
      <c r="CC288" s="156" t="s">
        <v>171</v>
      </c>
      <c r="CD288" s="38"/>
      <c r="CE288" s="157"/>
      <c r="CG288" s="156" t="s">
        <v>171</v>
      </c>
      <c r="CH288" s="38"/>
      <c r="CI288" s="157"/>
    </row>
    <row r="289" ht="7.5" customHeight="1">
      <c r="A289" s="166"/>
      <c r="E289" s="137"/>
      <c r="I289" s="137"/>
      <c r="M289" s="137"/>
      <c r="Q289" s="137"/>
      <c r="U289" s="137"/>
      <c r="Y289" s="137"/>
      <c r="AC289" s="137"/>
      <c r="AG289" s="137"/>
      <c r="AK289" s="137"/>
      <c r="AO289" s="137"/>
      <c r="AS289" s="137"/>
      <c r="AW289" s="137"/>
      <c r="BA289" s="137"/>
      <c r="BE289" s="137"/>
      <c r="BI289" s="137"/>
      <c r="BM289" s="137"/>
      <c r="BQ289" s="137"/>
      <c r="BU289" s="137"/>
      <c r="BY289" s="137"/>
      <c r="CC289" s="137"/>
      <c r="CG289" s="137"/>
    </row>
    <row r="290">
      <c r="A290" s="142" t="b">
        <v>0</v>
      </c>
      <c r="B290" s="143" t="s">
        <v>224</v>
      </c>
      <c r="C290" s="45"/>
      <c r="D290" s="172" t="s">
        <v>38</v>
      </c>
      <c r="E290" s="145" t="s">
        <v>167</v>
      </c>
      <c r="F290" s="146"/>
      <c r="G290" s="146"/>
      <c r="I290" s="145" t="s">
        <v>167</v>
      </c>
      <c r="J290" s="146"/>
      <c r="K290" s="146"/>
      <c r="M290" s="145" t="s">
        <v>167</v>
      </c>
      <c r="N290" s="146"/>
      <c r="O290" s="146"/>
      <c r="Q290" s="145" t="s">
        <v>167</v>
      </c>
      <c r="R290" s="146"/>
      <c r="S290" s="146"/>
      <c r="U290" s="145" t="s">
        <v>167</v>
      </c>
      <c r="V290" s="146"/>
      <c r="W290" s="146"/>
      <c r="Y290" s="145" t="s">
        <v>167</v>
      </c>
      <c r="Z290" s="146"/>
      <c r="AA290" s="146"/>
      <c r="AC290" s="145" t="s">
        <v>167</v>
      </c>
      <c r="AD290" s="146"/>
      <c r="AE290" s="146"/>
      <c r="AG290" s="145" t="s">
        <v>167</v>
      </c>
      <c r="AH290" s="146"/>
      <c r="AI290" s="146"/>
      <c r="AK290" s="145" t="s">
        <v>167</v>
      </c>
      <c r="AL290" s="146"/>
      <c r="AM290" s="146"/>
      <c r="AO290" s="145" t="s">
        <v>167</v>
      </c>
      <c r="AP290" s="146"/>
      <c r="AQ290" s="146"/>
      <c r="AS290" s="145" t="s">
        <v>167</v>
      </c>
      <c r="AT290" s="146"/>
      <c r="AU290" s="146"/>
      <c r="AW290" s="145" t="s">
        <v>167</v>
      </c>
      <c r="AX290" s="146"/>
      <c r="AY290" s="146"/>
      <c r="BA290" s="145" t="s">
        <v>167</v>
      </c>
      <c r="BB290" s="146"/>
      <c r="BC290" s="146"/>
      <c r="BE290" s="145" t="s">
        <v>167</v>
      </c>
      <c r="BF290" s="146"/>
      <c r="BG290" s="146"/>
      <c r="BI290" s="145" t="s">
        <v>167</v>
      </c>
      <c r="BJ290" s="146"/>
      <c r="BK290" s="146"/>
      <c r="BM290" s="145" t="s">
        <v>167</v>
      </c>
      <c r="BN290" s="146"/>
      <c r="BO290" s="146"/>
      <c r="BQ290" s="145" t="s">
        <v>167</v>
      </c>
      <c r="BR290" s="146"/>
      <c r="BS290" s="146"/>
      <c r="BU290" s="145" t="s">
        <v>167</v>
      </c>
      <c r="BV290" s="146"/>
      <c r="BW290" s="146"/>
      <c r="BY290" s="145" t="s">
        <v>167</v>
      </c>
      <c r="BZ290" s="146"/>
      <c r="CA290" s="146"/>
      <c r="CC290" s="145" t="s">
        <v>167</v>
      </c>
      <c r="CD290" s="146"/>
      <c r="CE290" s="146"/>
      <c r="CG290" s="145" t="s">
        <v>167</v>
      </c>
      <c r="CH290" s="146"/>
      <c r="CI290" s="146"/>
    </row>
    <row r="291">
      <c r="A291" s="147"/>
      <c r="B291" s="138"/>
      <c r="C291" s="52"/>
      <c r="D291" s="138"/>
      <c r="E291" s="139"/>
      <c r="F291" s="139"/>
      <c r="G291" s="139"/>
      <c r="I291" s="139"/>
      <c r="J291" s="139"/>
      <c r="K291" s="139"/>
      <c r="M291" s="139"/>
      <c r="N291" s="139"/>
      <c r="O291" s="139"/>
      <c r="Q291" s="139"/>
      <c r="R291" s="139"/>
      <c r="S291" s="139"/>
      <c r="U291" s="139"/>
      <c r="V291" s="139"/>
      <c r="W291" s="139"/>
      <c r="Y291" s="139"/>
      <c r="Z291" s="139"/>
      <c r="AA291" s="139"/>
      <c r="AC291" s="139"/>
      <c r="AD291" s="139"/>
      <c r="AE291" s="139"/>
      <c r="AG291" s="139"/>
      <c r="AH291" s="139"/>
      <c r="AI291" s="139"/>
      <c r="AK291" s="139"/>
      <c r="AL291" s="139"/>
      <c r="AM291" s="139"/>
      <c r="AO291" s="139"/>
      <c r="AP291" s="139"/>
      <c r="AQ291" s="139"/>
      <c r="AS291" s="139"/>
      <c r="AT291" s="139"/>
      <c r="AU291" s="139"/>
      <c r="AW291" s="139"/>
      <c r="AX291" s="139"/>
      <c r="AY291" s="139"/>
      <c r="BA291" s="139"/>
      <c r="BB291" s="139"/>
      <c r="BC291" s="139"/>
      <c r="BE291" s="139"/>
      <c r="BF291" s="139"/>
      <c r="BG291" s="139"/>
      <c r="BI291" s="139"/>
      <c r="BJ291" s="139"/>
      <c r="BK291" s="139"/>
      <c r="BM291" s="139"/>
      <c r="BN291" s="139"/>
      <c r="BO291" s="139"/>
      <c r="BQ291" s="139"/>
      <c r="BR291" s="139"/>
      <c r="BS291" s="139"/>
      <c r="BU291" s="139"/>
      <c r="BV291" s="139"/>
      <c r="BW291" s="139"/>
      <c r="BY291" s="139"/>
      <c r="BZ291" s="139"/>
      <c r="CA291" s="139"/>
      <c r="CC291" s="139"/>
      <c r="CD291" s="139"/>
      <c r="CE291" s="139"/>
      <c r="CG291" s="139"/>
      <c r="CH291" s="139"/>
      <c r="CI291" s="139"/>
    </row>
    <row r="292" ht="13.5" customHeight="1">
      <c r="A292" s="147"/>
      <c r="B292" s="138"/>
      <c r="C292" s="52"/>
      <c r="D292" s="138"/>
      <c r="E292" s="148"/>
      <c r="F292" s="149"/>
      <c r="G292" s="45"/>
      <c r="I292" s="148"/>
      <c r="J292" s="149"/>
      <c r="K292" s="45"/>
      <c r="M292" s="148"/>
      <c r="N292" s="149"/>
      <c r="O292" s="45"/>
      <c r="Q292" s="148"/>
      <c r="R292" s="149"/>
      <c r="S292" s="45"/>
      <c r="U292" s="148"/>
      <c r="V292" s="149"/>
      <c r="W292" s="45"/>
      <c r="Y292" s="148"/>
      <c r="Z292" s="149"/>
      <c r="AA292" s="45"/>
      <c r="AC292" s="148"/>
      <c r="AD292" s="149"/>
      <c r="AE292" s="45"/>
      <c r="AG292" s="148"/>
      <c r="AH292" s="149"/>
      <c r="AI292" s="45"/>
      <c r="AK292" s="148"/>
      <c r="AL292" s="149"/>
      <c r="AM292" s="45"/>
      <c r="AO292" s="148"/>
      <c r="AP292" s="149"/>
      <c r="AQ292" s="45"/>
      <c r="AS292" s="148"/>
      <c r="AT292" s="149"/>
      <c r="AU292" s="45"/>
      <c r="AW292" s="148"/>
      <c r="AX292" s="149"/>
      <c r="AY292" s="45"/>
      <c r="BA292" s="148"/>
      <c r="BB292" s="149"/>
      <c r="BC292" s="45"/>
      <c r="BE292" s="148"/>
      <c r="BF292" s="149"/>
      <c r="BG292" s="45"/>
      <c r="BI292" s="148"/>
      <c r="BJ292" s="149"/>
      <c r="BK292" s="45"/>
      <c r="BM292" s="148"/>
      <c r="BN292" s="149"/>
      <c r="BO292" s="45"/>
      <c r="BQ292" s="148"/>
      <c r="BR292" s="149"/>
      <c r="BS292" s="45"/>
      <c r="BU292" s="148"/>
      <c r="BV292" s="149"/>
      <c r="BW292" s="45"/>
      <c r="BY292" s="148"/>
      <c r="BZ292" s="149"/>
      <c r="CA292" s="45"/>
      <c r="CC292" s="148"/>
      <c r="CD292" s="149"/>
      <c r="CE292" s="45"/>
      <c r="CG292" s="148"/>
      <c r="CH292" s="149"/>
      <c r="CI292" s="45"/>
    </row>
    <row r="293" ht="13.5" customHeight="1">
      <c r="A293" s="147"/>
      <c r="B293" s="140"/>
      <c r="C293" s="57"/>
      <c r="D293" s="140"/>
      <c r="E293" s="138"/>
      <c r="G293" s="52"/>
      <c r="I293" s="138"/>
      <c r="K293" s="52"/>
      <c r="M293" s="138"/>
      <c r="O293" s="52"/>
      <c r="Q293" s="138"/>
      <c r="S293" s="52"/>
      <c r="U293" s="138"/>
      <c r="W293" s="52"/>
      <c r="Y293" s="138"/>
      <c r="AA293" s="52"/>
      <c r="AC293" s="138"/>
      <c r="AE293" s="52"/>
      <c r="AG293" s="138"/>
      <c r="AI293" s="52"/>
      <c r="AK293" s="138"/>
      <c r="AM293" s="52"/>
      <c r="AO293" s="138"/>
      <c r="AQ293" s="52"/>
      <c r="AS293" s="138"/>
      <c r="AU293" s="52"/>
      <c r="AW293" s="138"/>
      <c r="AY293" s="52"/>
      <c r="BA293" s="138"/>
      <c r="BC293" s="52"/>
      <c r="BE293" s="138"/>
      <c r="BG293" s="52"/>
      <c r="BI293" s="138"/>
      <c r="BK293" s="52"/>
      <c r="BM293" s="138"/>
      <c r="BO293" s="52"/>
      <c r="BQ293" s="138"/>
      <c r="BS293" s="52"/>
      <c r="BU293" s="138"/>
      <c r="BW293" s="52"/>
      <c r="BY293" s="138"/>
      <c r="CA293" s="52"/>
      <c r="CC293" s="138"/>
      <c r="CE293" s="52"/>
      <c r="CG293" s="138"/>
      <c r="CI293" s="52"/>
    </row>
    <row r="294" ht="24.0" customHeight="1">
      <c r="A294" s="147"/>
      <c r="B294" s="173" t="s">
        <v>168</v>
      </c>
      <c r="C294" s="174" t="s">
        <v>165</v>
      </c>
      <c r="D294" s="175" t="s">
        <v>164</v>
      </c>
      <c r="E294" s="140"/>
      <c r="F294" s="56"/>
      <c r="G294" s="57"/>
      <c r="I294" s="140"/>
      <c r="J294" s="56"/>
      <c r="K294" s="57"/>
      <c r="M294" s="140"/>
      <c r="N294" s="56"/>
      <c r="O294" s="57"/>
      <c r="Q294" s="140"/>
      <c r="R294" s="56"/>
      <c r="S294" s="57"/>
      <c r="U294" s="140"/>
      <c r="V294" s="56"/>
      <c r="W294" s="57"/>
      <c r="Y294" s="140"/>
      <c r="Z294" s="56"/>
      <c r="AA294" s="57"/>
      <c r="AC294" s="140"/>
      <c r="AD294" s="56"/>
      <c r="AE294" s="57"/>
      <c r="AG294" s="140"/>
      <c r="AH294" s="56"/>
      <c r="AI294" s="57"/>
      <c r="AK294" s="140"/>
      <c r="AL294" s="56"/>
      <c r="AM294" s="57"/>
      <c r="AO294" s="140"/>
      <c r="AP294" s="56"/>
      <c r="AQ294" s="57"/>
      <c r="AS294" s="140"/>
      <c r="AT294" s="56"/>
      <c r="AU294" s="57"/>
      <c r="AW294" s="140"/>
      <c r="AX294" s="56"/>
      <c r="AY294" s="57"/>
      <c r="BA294" s="140"/>
      <c r="BB294" s="56"/>
      <c r="BC294" s="57"/>
      <c r="BE294" s="140"/>
      <c r="BF294" s="56"/>
      <c r="BG294" s="57"/>
      <c r="BI294" s="140"/>
      <c r="BJ294" s="56"/>
      <c r="BK294" s="57"/>
      <c r="BM294" s="140"/>
      <c r="BN294" s="56"/>
      <c r="BO294" s="57"/>
      <c r="BQ294" s="140"/>
      <c r="BR294" s="56"/>
      <c r="BS294" s="57"/>
      <c r="BU294" s="140"/>
      <c r="BV294" s="56"/>
      <c r="BW294" s="57"/>
      <c r="BY294" s="140"/>
      <c r="BZ294" s="56"/>
      <c r="CA294" s="57"/>
      <c r="CC294" s="140"/>
      <c r="CD294" s="56"/>
      <c r="CE294" s="57"/>
      <c r="CG294" s="140"/>
      <c r="CH294" s="56"/>
      <c r="CI294" s="57"/>
    </row>
    <row r="295" ht="23.25" customHeight="1">
      <c r="A295" s="139"/>
      <c r="B295" s="153">
        <v>3.0</v>
      </c>
      <c r="C295" s="161" t="s">
        <v>173</v>
      </c>
      <c r="D295" s="155" t="s">
        <v>225</v>
      </c>
      <c r="E295" s="156" t="s">
        <v>171</v>
      </c>
      <c r="F295" s="38"/>
      <c r="G295" s="157"/>
      <c r="I295" s="156" t="s">
        <v>171</v>
      </c>
      <c r="J295" s="38"/>
      <c r="K295" s="157"/>
      <c r="M295" s="156" t="s">
        <v>171</v>
      </c>
      <c r="N295" s="38"/>
      <c r="O295" s="157"/>
      <c r="Q295" s="156" t="s">
        <v>171</v>
      </c>
      <c r="R295" s="38"/>
      <c r="S295" s="157"/>
      <c r="U295" s="156" t="s">
        <v>171</v>
      </c>
      <c r="V295" s="38"/>
      <c r="W295" s="157"/>
      <c r="Y295" s="156" t="s">
        <v>171</v>
      </c>
      <c r="Z295" s="38"/>
      <c r="AA295" s="157"/>
      <c r="AC295" s="156" t="s">
        <v>171</v>
      </c>
      <c r="AD295" s="38"/>
      <c r="AE295" s="157"/>
      <c r="AG295" s="156" t="s">
        <v>171</v>
      </c>
      <c r="AH295" s="38"/>
      <c r="AI295" s="157"/>
      <c r="AK295" s="156" t="s">
        <v>171</v>
      </c>
      <c r="AL295" s="38"/>
      <c r="AM295" s="157"/>
      <c r="AO295" s="156" t="s">
        <v>171</v>
      </c>
      <c r="AP295" s="38"/>
      <c r="AQ295" s="157"/>
      <c r="AS295" s="156" t="s">
        <v>171</v>
      </c>
      <c r="AT295" s="38"/>
      <c r="AU295" s="157"/>
      <c r="AW295" s="156" t="s">
        <v>171</v>
      </c>
      <c r="AX295" s="38"/>
      <c r="AY295" s="157"/>
      <c r="BA295" s="156" t="s">
        <v>171</v>
      </c>
      <c r="BB295" s="38"/>
      <c r="BC295" s="157"/>
      <c r="BE295" s="156" t="s">
        <v>171</v>
      </c>
      <c r="BF295" s="38"/>
      <c r="BG295" s="157"/>
      <c r="BI295" s="156" t="s">
        <v>171</v>
      </c>
      <c r="BJ295" s="38"/>
      <c r="BK295" s="157"/>
      <c r="BM295" s="156" t="s">
        <v>171</v>
      </c>
      <c r="BN295" s="38"/>
      <c r="BO295" s="157"/>
      <c r="BQ295" s="156" t="s">
        <v>171</v>
      </c>
      <c r="BR295" s="38"/>
      <c r="BS295" s="157"/>
      <c r="BU295" s="156" t="s">
        <v>171</v>
      </c>
      <c r="BV295" s="38"/>
      <c r="BW295" s="157"/>
      <c r="BY295" s="156" t="s">
        <v>171</v>
      </c>
      <c r="BZ295" s="38"/>
      <c r="CA295" s="157"/>
      <c r="CC295" s="156" t="s">
        <v>171</v>
      </c>
      <c r="CD295" s="38"/>
      <c r="CE295" s="157"/>
      <c r="CG295" s="156" t="s">
        <v>171</v>
      </c>
      <c r="CH295" s="38"/>
      <c r="CI295" s="157"/>
    </row>
    <row r="296" ht="8.25" customHeight="1">
      <c r="A296" s="178"/>
      <c r="B296" s="159"/>
      <c r="C296" s="159"/>
      <c r="D296" s="38"/>
      <c r="E296" s="137"/>
      <c r="I296" s="137"/>
      <c r="M296" s="137"/>
      <c r="Q296" s="137"/>
      <c r="U296" s="137"/>
      <c r="Y296" s="137"/>
      <c r="AC296" s="137"/>
      <c r="AG296" s="137"/>
      <c r="AK296" s="137"/>
      <c r="AO296" s="137"/>
      <c r="AS296" s="137"/>
      <c r="AW296" s="137"/>
      <c r="BA296" s="137"/>
      <c r="BE296" s="137"/>
      <c r="BI296" s="137"/>
      <c r="BM296" s="137"/>
      <c r="BQ296" s="137"/>
      <c r="BU296" s="137"/>
      <c r="BY296" s="137"/>
      <c r="CC296" s="137"/>
      <c r="CG296" s="137"/>
    </row>
    <row r="297">
      <c r="A297" s="142" t="b">
        <v>0</v>
      </c>
      <c r="B297" s="165" t="s">
        <v>226</v>
      </c>
      <c r="C297" s="45"/>
      <c r="D297" s="172" t="s">
        <v>38</v>
      </c>
      <c r="E297" s="145" t="s">
        <v>167</v>
      </c>
      <c r="F297" s="146"/>
      <c r="G297" s="146"/>
      <c r="I297" s="145" t="s">
        <v>167</v>
      </c>
      <c r="J297" s="146"/>
      <c r="K297" s="146"/>
      <c r="M297" s="145" t="s">
        <v>167</v>
      </c>
      <c r="N297" s="146"/>
      <c r="O297" s="146"/>
      <c r="Q297" s="145" t="s">
        <v>167</v>
      </c>
      <c r="R297" s="146"/>
      <c r="S297" s="146"/>
      <c r="U297" s="145" t="s">
        <v>167</v>
      </c>
      <c r="V297" s="146"/>
      <c r="W297" s="146"/>
      <c r="Y297" s="145" t="s">
        <v>167</v>
      </c>
      <c r="Z297" s="146"/>
      <c r="AA297" s="146"/>
      <c r="AC297" s="145" t="s">
        <v>167</v>
      </c>
      <c r="AD297" s="146"/>
      <c r="AE297" s="146"/>
      <c r="AG297" s="145" t="s">
        <v>167</v>
      </c>
      <c r="AH297" s="146"/>
      <c r="AI297" s="146"/>
      <c r="AK297" s="145" t="s">
        <v>167</v>
      </c>
      <c r="AL297" s="146"/>
      <c r="AM297" s="146"/>
      <c r="AO297" s="145" t="s">
        <v>167</v>
      </c>
      <c r="AP297" s="146"/>
      <c r="AQ297" s="146"/>
      <c r="AS297" s="145" t="s">
        <v>167</v>
      </c>
      <c r="AT297" s="146"/>
      <c r="AU297" s="146"/>
      <c r="AW297" s="145" t="s">
        <v>167</v>
      </c>
      <c r="AX297" s="146"/>
      <c r="AY297" s="146"/>
      <c r="BA297" s="145" t="s">
        <v>167</v>
      </c>
      <c r="BB297" s="146"/>
      <c r="BC297" s="146"/>
      <c r="BE297" s="145" t="s">
        <v>167</v>
      </c>
      <c r="BF297" s="146"/>
      <c r="BG297" s="146"/>
      <c r="BI297" s="145" t="s">
        <v>167</v>
      </c>
      <c r="BJ297" s="146"/>
      <c r="BK297" s="146"/>
      <c r="BM297" s="145" t="s">
        <v>167</v>
      </c>
      <c r="BN297" s="146"/>
      <c r="BO297" s="146"/>
      <c r="BQ297" s="145" t="s">
        <v>167</v>
      </c>
      <c r="BR297" s="146"/>
      <c r="BS297" s="146"/>
      <c r="BU297" s="145" t="s">
        <v>167</v>
      </c>
      <c r="BV297" s="146"/>
      <c r="BW297" s="146"/>
      <c r="BY297" s="145" t="s">
        <v>167</v>
      </c>
      <c r="BZ297" s="146"/>
      <c r="CA297" s="146"/>
      <c r="CC297" s="145" t="s">
        <v>167</v>
      </c>
      <c r="CD297" s="146"/>
      <c r="CE297" s="146"/>
      <c r="CG297" s="145" t="s">
        <v>167</v>
      </c>
      <c r="CH297" s="146"/>
      <c r="CI297" s="146"/>
    </row>
    <row r="298">
      <c r="A298" s="147"/>
      <c r="B298" s="138"/>
      <c r="C298" s="52"/>
      <c r="D298" s="138"/>
      <c r="E298" s="139"/>
      <c r="F298" s="139"/>
      <c r="G298" s="139"/>
      <c r="I298" s="139"/>
      <c r="J298" s="139"/>
      <c r="K298" s="139"/>
      <c r="M298" s="139"/>
      <c r="N298" s="139"/>
      <c r="O298" s="139"/>
      <c r="Q298" s="139"/>
      <c r="R298" s="139"/>
      <c r="S298" s="139"/>
      <c r="U298" s="139"/>
      <c r="V298" s="139"/>
      <c r="W298" s="139"/>
      <c r="Y298" s="139"/>
      <c r="Z298" s="139"/>
      <c r="AA298" s="139"/>
      <c r="AC298" s="139"/>
      <c r="AD298" s="139"/>
      <c r="AE298" s="139"/>
      <c r="AG298" s="139"/>
      <c r="AH298" s="139"/>
      <c r="AI298" s="139"/>
      <c r="AK298" s="139"/>
      <c r="AL298" s="139"/>
      <c r="AM298" s="139"/>
      <c r="AO298" s="139"/>
      <c r="AP298" s="139"/>
      <c r="AQ298" s="139"/>
      <c r="AS298" s="139"/>
      <c r="AT298" s="139"/>
      <c r="AU298" s="139"/>
      <c r="AW298" s="139"/>
      <c r="AX298" s="139"/>
      <c r="AY298" s="139"/>
      <c r="BA298" s="139"/>
      <c r="BB298" s="139"/>
      <c r="BC298" s="139"/>
      <c r="BE298" s="139"/>
      <c r="BF298" s="139"/>
      <c r="BG298" s="139"/>
      <c r="BI298" s="139"/>
      <c r="BJ298" s="139"/>
      <c r="BK298" s="139"/>
      <c r="BM298" s="139"/>
      <c r="BN298" s="139"/>
      <c r="BO298" s="139"/>
      <c r="BQ298" s="139"/>
      <c r="BR298" s="139"/>
      <c r="BS298" s="139"/>
      <c r="BU298" s="139"/>
      <c r="BV298" s="139"/>
      <c r="BW298" s="139"/>
      <c r="BY298" s="139"/>
      <c r="BZ298" s="139"/>
      <c r="CA298" s="139"/>
      <c r="CC298" s="139"/>
      <c r="CD298" s="139"/>
      <c r="CE298" s="139"/>
      <c r="CG298" s="139"/>
      <c r="CH298" s="139"/>
      <c r="CI298" s="139"/>
    </row>
    <row r="299" ht="18.75" customHeight="1">
      <c r="A299" s="147"/>
      <c r="B299" s="138"/>
      <c r="C299" s="52"/>
      <c r="D299" s="138"/>
      <c r="E299" s="148"/>
      <c r="F299" s="149"/>
      <c r="G299" s="45"/>
      <c r="I299" s="148"/>
      <c r="J299" s="149"/>
      <c r="K299" s="45"/>
      <c r="M299" s="148"/>
      <c r="N299" s="149"/>
      <c r="O299" s="45"/>
      <c r="Q299" s="148"/>
      <c r="R299" s="149"/>
      <c r="S299" s="45"/>
      <c r="U299" s="148"/>
      <c r="V299" s="149"/>
      <c r="W299" s="45"/>
      <c r="Y299" s="148"/>
      <c r="Z299" s="149"/>
      <c r="AA299" s="45"/>
      <c r="AC299" s="148"/>
      <c r="AD299" s="149"/>
      <c r="AE299" s="45"/>
      <c r="AG299" s="148"/>
      <c r="AH299" s="149"/>
      <c r="AI299" s="45"/>
      <c r="AK299" s="148"/>
      <c r="AL299" s="149"/>
      <c r="AM299" s="45"/>
      <c r="AO299" s="148"/>
      <c r="AP299" s="149"/>
      <c r="AQ299" s="45"/>
      <c r="AS299" s="148"/>
      <c r="AT299" s="149"/>
      <c r="AU299" s="45"/>
      <c r="AW299" s="148"/>
      <c r="AX299" s="149"/>
      <c r="AY299" s="45"/>
      <c r="BA299" s="148"/>
      <c r="BB299" s="149"/>
      <c r="BC299" s="45"/>
      <c r="BE299" s="148"/>
      <c r="BF299" s="149"/>
      <c r="BG299" s="45"/>
      <c r="BI299" s="148"/>
      <c r="BJ299" s="149"/>
      <c r="BK299" s="45"/>
      <c r="BM299" s="148"/>
      <c r="BN299" s="149"/>
      <c r="BO299" s="45"/>
      <c r="BQ299" s="148"/>
      <c r="BR299" s="149"/>
      <c r="BS299" s="45"/>
      <c r="BU299" s="148"/>
      <c r="BV299" s="149"/>
      <c r="BW299" s="45"/>
      <c r="BY299" s="148"/>
      <c r="BZ299" s="149"/>
      <c r="CA299" s="45"/>
      <c r="CC299" s="148"/>
      <c r="CD299" s="149"/>
      <c r="CE299" s="45"/>
      <c r="CG299" s="148"/>
      <c r="CH299" s="149"/>
      <c r="CI299" s="45"/>
    </row>
    <row r="300" ht="18.75" customHeight="1">
      <c r="A300" s="147"/>
      <c r="B300" s="140"/>
      <c r="C300" s="57"/>
      <c r="D300" s="140"/>
      <c r="E300" s="138"/>
      <c r="G300" s="52"/>
      <c r="I300" s="138"/>
      <c r="K300" s="52"/>
      <c r="M300" s="138"/>
      <c r="O300" s="52"/>
      <c r="Q300" s="138"/>
      <c r="S300" s="52"/>
      <c r="U300" s="138"/>
      <c r="W300" s="52"/>
      <c r="Y300" s="138"/>
      <c r="AA300" s="52"/>
      <c r="AC300" s="138"/>
      <c r="AE300" s="52"/>
      <c r="AG300" s="138"/>
      <c r="AI300" s="52"/>
      <c r="AK300" s="138"/>
      <c r="AM300" s="52"/>
      <c r="AO300" s="138"/>
      <c r="AQ300" s="52"/>
      <c r="AS300" s="138"/>
      <c r="AU300" s="52"/>
      <c r="AW300" s="138"/>
      <c r="AY300" s="52"/>
      <c r="BA300" s="138"/>
      <c r="BC300" s="52"/>
      <c r="BE300" s="138"/>
      <c r="BG300" s="52"/>
      <c r="BI300" s="138"/>
      <c r="BK300" s="52"/>
      <c r="BM300" s="138"/>
      <c r="BO300" s="52"/>
      <c r="BQ300" s="138"/>
      <c r="BS300" s="52"/>
      <c r="BU300" s="138"/>
      <c r="BW300" s="52"/>
      <c r="BY300" s="138"/>
      <c r="CA300" s="52"/>
      <c r="CC300" s="138"/>
      <c r="CE300" s="52"/>
      <c r="CG300" s="138"/>
      <c r="CI300" s="52"/>
    </row>
    <row r="301" ht="25.5" customHeight="1">
      <c r="A301" s="147"/>
      <c r="B301" s="173" t="s">
        <v>168</v>
      </c>
      <c r="C301" s="174" t="s">
        <v>165</v>
      </c>
      <c r="D301" s="175" t="s">
        <v>164</v>
      </c>
      <c r="E301" s="140"/>
      <c r="F301" s="56"/>
      <c r="G301" s="57"/>
      <c r="I301" s="140"/>
      <c r="J301" s="56"/>
      <c r="K301" s="57"/>
      <c r="M301" s="140"/>
      <c r="N301" s="56"/>
      <c r="O301" s="57"/>
      <c r="Q301" s="140"/>
      <c r="R301" s="56"/>
      <c r="S301" s="57"/>
      <c r="U301" s="140"/>
      <c r="V301" s="56"/>
      <c r="W301" s="57"/>
      <c r="Y301" s="140"/>
      <c r="Z301" s="56"/>
      <c r="AA301" s="57"/>
      <c r="AC301" s="140"/>
      <c r="AD301" s="56"/>
      <c r="AE301" s="57"/>
      <c r="AG301" s="140"/>
      <c r="AH301" s="56"/>
      <c r="AI301" s="57"/>
      <c r="AK301" s="140"/>
      <c r="AL301" s="56"/>
      <c r="AM301" s="57"/>
      <c r="AO301" s="140"/>
      <c r="AP301" s="56"/>
      <c r="AQ301" s="57"/>
      <c r="AS301" s="140"/>
      <c r="AT301" s="56"/>
      <c r="AU301" s="57"/>
      <c r="AW301" s="140"/>
      <c r="AX301" s="56"/>
      <c r="AY301" s="57"/>
      <c r="BA301" s="140"/>
      <c r="BB301" s="56"/>
      <c r="BC301" s="57"/>
      <c r="BE301" s="140"/>
      <c r="BF301" s="56"/>
      <c r="BG301" s="57"/>
      <c r="BI301" s="140"/>
      <c r="BJ301" s="56"/>
      <c r="BK301" s="57"/>
      <c r="BM301" s="140"/>
      <c r="BN301" s="56"/>
      <c r="BO301" s="57"/>
      <c r="BQ301" s="140"/>
      <c r="BR301" s="56"/>
      <c r="BS301" s="57"/>
      <c r="BU301" s="140"/>
      <c r="BV301" s="56"/>
      <c r="BW301" s="57"/>
      <c r="BY301" s="140"/>
      <c r="BZ301" s="56"/>
      <c r="CA301" s="57"/>
      <c r="CC301" s="140"/>
      <c r="CD301" s="56"/>
      <c r="CE301" s="57"/>
      <c r="CG301" s="140"/>
      <c r="CH301" s="56"/>
      <c r="CI301" s="57"/>
    </row>
    <row r="302" ht="27.0" customHeight="1">
      <c r="A302" s="139"/>
      <c r="B302" s="153">
        <v>3.0</v>
      </c>
      <c r="C302" s="161" t="s">
        <v>173</v>
      </c>
      <c r="D302" s="155" t="s">
        <v>227</v>
      </c>
      <c r="E302" s="156" t="s">
        <v>171</v>
      </c>
      <c r="F302" s="38"/>
      <c r="G302" s="157"/>
      <c r="I302" s="156" t="s">
        <v>171</v>
      </c>
      <c r="J302" s="38"/>
      <c r="K302" s="157"/>
      <c r="M302" s="156" t="s">
        <v>171</v>
      </c>
      <c r="N302" s="38"/>
      <c r="O302" s="157"/>
      <c r="Q302" s="156" t="s">
        <v>171</v>
      </c>
      <c r="R302" s="38"/>
      <c r="S302" s="157"/>
      <c r="U302" s="156" t="s">
        <v>171</v>
      </c>
      <c r="V302" s="38"/>
      <c r="W302" s="157"/>
      <c r="Y302" s="156" t="s">
        <v>171</v>
      </c>
      <c r="Z302" s="38"/>
      <c r="AA302" s="157"/>
      <c r="AC302" s="156" t="s">
        <v>171</v>
      </c>
      <c r="AD302" s="38"/>
      <c r="AE302" s="157"/>
      <c r="AG302" s="156" t="s">
        <v>171</v>
      </c>
      <c r="AH302" s="38"/>
      <c r="AI302" s="157"/>
      <c r="AK302" s="156" t="s">
        <v>171</v>
      </c>
      <c r="AL302" s="38"/>
      <c r="AM302" s="157"/>
      <c r="AO302" s="156" t="s">
        <v>171</v>
      </c>
      <c r="AP302" s="38"/>
      <c r="AQ302" s="157"/>
      <c r="AS302" s="156" t="s">
        <v>171</v>
      </c>
      <c r="AT302" s="38"/>
      <c r="AU302" s="157"/>
      <c r="AW302" s="156" t="s">
        <v>171</v>
      </c>
      <c r="AX302" s="38"/>
      <c r="AY302" s="157"/>
      <c r="BA302" s="156" t="s">
        <v>171</v>
      </c>
      <c r="BB302" s="38"/>
      <c r="BC302" s="157"/>
      <c r="BE302" s="156" t="s">
        <v>171</v>
      </c>
      <c r="BF302" s="38"/>
      <c r="BG302" s="157"/>
      <c r="BI302" s="156" t="s">
        <v>171</v>
      </c>
      <c r="BJ302" s="38"/>
      <c r="BK302" s="157"/>
      <c r="BM302" s="156" t="s">
        <v>171</v>
      </c>
      <c r="BN302" s="38"/>
      <c r="BO302" s="157"/>
      <c r="BQ302" s="156" t="s">
        <v>171</v>
      </c>
      <c r="BR302" s="38"/>
      <c r="BS302" s="157"/>
      <c r="BU302" s="156" t="s">
        <v>171</v>
      </c>
      <c r="BV302" s="38"/>
      <c r="BW302" s="157"/>
      <c r="BY302" s="156" t="s">
        <v>171</v>
      </c>
      <c r="BZ302" s="38"/>
      <c r="CA302" s="157"/>
      <c r="CC302" s="156" t="s">
        <v>171</v>
      </c>
      <c r="CD302" s="38"/>
      <c r="CE302" s="157"/>
      <c r="CG302" s="156" t="s">
        <v>171</v>
      </c>
      <c r="CH302" s="38"/>
      <c r="CI302" s="157"/>
    </row>
    <row r="303" ht="9.75" customHeight="1">
      <c r="A303" s="166"/>
      <c r="E303" s="137"/>
      <c r="I303" s="137"/>
      <c r="M303" s="137"/>
      <c r="Q303" s="137"/>
      <c r="U303" s="137"/>
      <c r="Y303" s="137"/>
      <c r="AC303" s="137"/>
      <c r="AG303" s="137"/>
      <c r="AK303" s="137"/>
      <c r="AO303" s="137"/>
      <c r="AS303" s="137"/>
      <c r="AW303" s="137"/>
      <c r="BA303" s="137"/>
      <c r="BE303" s="137"/>
      <c r="BI303" s="137"/>
      <c r="BM303" s="137"/>
      <c r="BQ303" s="137"/>
      <c r="BU303" s="137"/>
      <c r="BY303" s="137"/>
      <c r="CC303" s="137"/>
      <c r="CG303" s="137"/>
    </row>
    <row r="304">
      <c r="A304" s="142" t="b">
        <v>0</v>
      </c>
      <c r="B304" s="160" t="s">
        <v>228</v>
      </c>
      <c r="C304" s="45"/>
      <c r="D304" s="172" t="s">
        <v>38</v>
      </c>
      <c r="E304" s="145" t="s">
        <v>167</v>
      </c>
      <c r="F304" s="146"/>
      <c r="G304" s="146"/>
      <c r="I304" s="145" t="s">
        <v>167</v>
      </c>
      <c r="J304" s="146"/>
      <c r="K304" s="146"/>
      <c r="M304" s="145" t="s">
        <v>167</v>
      </c>
      <c r="N304" s="146"/>
      <c r="O304" s="146"/>
      <c r="Q304" s="145" t="s">
        <v>167</v>
      </c>
      <c r="R304" s="146"/>
      <c r="S304" s="146"/>
      <c r="U304" s="145" t="s">
        <v>167</v>
      </c>
      <c r="V304" s="146"/>
      <c r="W304" s="146"/>
      <c r="Y304" s="145" t="s">
        <v>167</v>
      </c>
      <c r="Z304" s="146"/>
      <c r="AA304" s="146"/>
      <c r="AC304" s="145" t="s">
        <v>167</v>
      </c>
      <c r="AD304" s="146"/>
      <c r="AE304" s="146"/>
      <c r="AG304" s="145" t="s">
        <v>167</v>
      </c>
      <c r="AH304" s="146"/>
      <c r="AI304" s="146"/>
      <c r="AK304" s="145" t="s">
        <v>167</v>
      </c>
      <c r="AL304" s="146"/>
      <c r="AM304" s="146"/>
      <c r="AO304" s="145" t="s">
        <v>167</v>
      </c>
      <c r="AP304" s="146"/>
      <c r="AQ304" s="146"/>
      <c r="AS304" s="145" t="s">
        <v>167</v>
      </c>
      <c r="AT304" s="146"/>
      <c r="AU304" s="146"/>
      <c r="AW304" s="145" t="s">
        <v>167</v>
      </c>
      <c r="AX304" s="146"/>
      <c r="AY304" s="146"/>
      <c r="BA304" s="145" t="s">
        <v>167</v>
      </c>
      <c r="BB304" s="146"/>
      <c r="BC304" s="146"/>
      <c r="BE304" s="145" t="s">
        <v>167</v>
      </c>
      <c r="BF304" s="146"/>
      <c r="BG304" s="146"/>
      <c r="BI304" s="145" t="s">
        <v>167</v>
      </c>
      <c r="BJ304" s="146"/>
      <c r="BK304" s="146"/>
      <c r="BM304" s="145" t="s">
        <v>167</v>
      </c>
      <c r="BN304" s="146"/>
      <c r="BO304" s="146"/>
      <c r="BQ304" s="145" t="s">
        <v>167</v>
      </c>
      <c r="BR304" s="146"/>
      <c r="BS304" s="146"/>
      <c r="BU304" s="145" t="s">
        <v>167</v>
      </c>
      <c r="BV304" s="146"/>
      <c r="BW304" s="146"/>
      <c r="BY304" s="145" t="s">
        <v>167</v>
      </c>
      <c r="BZ304" s="146"/>
      <c r="CA304" s="146"/>
      <c r="CC304" s="145" t="s">
        <v>167</v>
      </c>
      <c r="CD304" s="146"/>
      <c r="CE304" s="146"/>
      <c r="CG304" s="145" t="s">
        <v>167</v>
      </c>
      <c r="CH304" s="146"/>
      <c r="CI304" s="146"/>
    </row>
    <row r="305">
      <c r="A305" s="147"/>
      <c r="B305" s="138"/>
      <c r="C305" s="52"/>
      <c r="D305" s="138"/>
      <c r="E305" s="139"/>
      <c r="F305" s="139"/>
      <c r="G305" s="139"/>
      <c r="I305" s="139"/>
      <c r="J305" s="139"/>
      <c r="K305" s="139"/>
      <c r="M305" s="139"/>
      <c r="N305" s="139"/>
      <c r="O305" s="139"/>
      <c r="Q305" s="139"/>
      <c r="R305" s="139"/>
      <c r="S305" s="139"/>
      <c r="U305" s="139"/>
      <c r="V305" s="139"/>
      <c r="W305" s="139"/>
      <c r="Y305" s="139"/>
      <c r="Z305" s="139"/>
      <c r="AA305" s="139"/>
      <c r="AC305" s="139"/>
      <c r="AD305" s="139"/>
      <c r="AE305" s="139"/>
      <c r="AG305" s="139"/>
      <c r="AH305" s="139"/>
      <c r="AI305" s="139"/>
      <c r="AK305" s="139"/>
      <c r="AL305" s="139"/>
      <c r="AM305" s="139"/>
      <c r="AO305" s="139"/>
      <c r="AP305" s="139"/>
      <c r="AQ305" s="139"/>
      <c r="AS305" s="139"/>
      <c r="AT305" s="139"/>
      <c r="AU305" s="139"/>
      <c r="AW305" s="139"/>
      <c r="AX305" s="139"/>
      <c r="AY305" s="139"/>
      <c r="BA305" s="139"/>
      <c r="BB305" s="139"/>
      <c r="BC305" s="139"/>
      <c r="BE305" s="139"/>
      <c r="BF305" s="139"/>
      <c r="BG305" s="139"/>
      <c r="BI305" s="139"/>
      <c r="BJ305" s="139"/>
      <c r="BK305" s="139"/>
      <c r="BM305" s="139"/>
      <c r="BN305" s="139"/>
      <c r="BO305" s="139"/>
      <c r="BQ305" s="139"/>
      <c r="BR305" s="139"/>
      <c r="BS305" s="139"/>
      <c r="BU305" s="139"/>
      <c r="BV305" s="139"/>
      <c r="BW305" s="139"/>
      <c r="BY305" s="139"/>
      <c r="BZ305" s="139"/>
      <c r="CA305" s="139"/>
      <c r="CC305" s="139"/>
      <c r="CD305" s="139"/>
      <c r="CE305" s="139"/>
      <c r="CG305" s="139"/>
      <c r="CH305" s="139"/>
      <c r="CI305" s="139"/>
    </row>
    <row r="306" ht="15.0" customHeight="1">
      <c r="A306" s="147"/>
      <c r="B306" s="138"/>
      <c r="C306" s="52"/>
      <c r="D306" s="138"/>
      <c r="E306" s="148"/>
      <c r="F306" s="149"/>
      <c r="G306" s="45"/>
      <c r="I306" s="148"/>
      <c r="J306" s="149"/>
      <c r="K306" s="45"/>
      <c r="M306" s="148"/>
      <c r="N306" s="149"/>
      <c r="O306" s="45"/>
      <c r="Q306" s="148"/>
      <c r="R306" s="149"/>
      <c r="S306" s="45"/>
      <c r="U306" s="148"/>
      <c r="V306" s="149"/>
      <c r="W306" s="45"/>
      <c r="Y306" s="148"/>
      <c r="Z306" s="149"/>
      <c r="AA306" s="45"/>
      <c r="AC306" s="148"/>
      <c r="AD306" s="149"/>
      <c r="AE306" s="45"/>
      <c r="AG306" s="148"/>
      <c r="AH306" s="149"/>
      <c r="AI306" s="45"/>
      <c r="AK306" s="148"/>
      <c r="AL306" s="149"/>
      <c r="AM306" s="45"/>
      <c r="AO306" s="148"/>
      <c r="AP306" s="149"/>
      <c r="AQ306" s="45"/>
      <c r="AS306" s="148"/>
      <c r="AT306" s="149"/>
      <c r="AU306" s="45"/>
      <c r="AW306" s="148"/>
      <c r="AX306" s="149"/>
      <c r="AY306" s="45"/>
      <c r="BA306" s="148"/>
      <c r="BB306" s="149"/>
      <c r="BC306" s="45"/>
      <c r="BE306" s="148"/>
      <c r="BF306" s="149"/>
      <c r="BG306" s="45"/>
      <c r="BI306" s="148"/>
      <c r="BJ306" s="149"/>
      <c r="BK306" s="45"/>
      <c r="BM306" s="148"/>
      <c r="BN306" s="149"/>
      <c r="BO306" s="45"/>
      <c r="BQ306" s="148"/>
      <c r="BR306" s="149"/>
      <c r="BS306" s="45"/>
      <c r="BU306" s="148"/>
      <c r="BV306" s="149"/>
      <c r="BW306" s="45"/>
      <c r="BY306" s="148"/>
      <c r="BZ306" s="149"/>
      <c r="CA306" s="45"/>
      <c r="CC306" s="148"/>
      <c r="CD306" s="149"/>
      <c r="CE306" s="45"/>
      <c r="CG306" s="148"/>
      <c r="CH306" s="149"/>
      <c r="CI306" s="45"/>
    </row>
    <row r="307" ht="15.0" customHeight="1">
      <c r="A307" s="147"/>
      <c r="B307" s="140"/>
      <c r="C307" s="57"/>
      <c r="D307" s="140"/>
      <c r="E307" s="138"/>
      <c r="G307" s="52"/>
      <c r="I307" s="138"/>
      <c r="K307" s="52"/>
      <c r="M307" s="138"/>
      <c r="O307" s="52"/>
      <c r="Q307" s="138"/>
      <c r="S307" s="52"/>
      <c r="U307" s="138"/>
      <c r="W307" s="52"/>
      <c r="Y307" s="138"/>
      <c r="AA307" s="52"/>
      <c r="AC307" s="138"/>
      <c r="AE307" s="52"/>
      <c r="AG307" s="138"/>
      <c r="AI307" s="52"/>
      <c r="AK307" s="138"/>
      <c r="AM307" s="52"/>
      <c r="AO307" s="138"/>
      <c r="AQ307" s="52"/>
      <c r="AS307" s="138"/>
      <c r="AU307" s="52"/>
      <c r="AW307" s="138"/>
      <c r="AY307" s="52"/>
      <c r="BA307" s="138"/>
      <c r="BC307" s="52"/>
      <c r="BE307" s="138"/>
      <c r="BG307" s="52"/>
      <c r="BI307" s="138"/>
      <c r="BK307" s="52"/>
      <c r="BM307" s="138"/>
      <c r="BO307" s="52"/>
      <c r="BQ307" s="138"/>
      <c r="BS307" s="52"/>
      <c r="BU307" s="138"/>
      <c r="BW307" s="52"/>
      <c r="BY307" s="138"/>
      <c r="CA307" s="52"/>
      <c r="CC307" s="138"/>
      <c r="CE307" s="52"/>
      <c r="CG307" s="138"/>
      <c r="CI307" s="52"/>
    </row>
    <row r="308" ht="21.75" customHeight="1">
      <c r="A308" s="147"/>
      <c r="B308" s="173" t="s">
        <v>168</v>
      </c>
      <c r="C308" s="174" t="s">
        <v>165</v>
      </c>
      <c r="D308" s="175" t="s">
        <v>164</v>
      </c>
      <c r="E308" s="140"/>
      <c r="F308" s="56"/>
      <c r="G308" s="57"/>
      <c r="I308" s="140"/>
      <c r="J308" s="56"/>
      <c r="K308" s="57"/>
      <c r="M308" s="140"/>
      <c r="N308" s="56"/>
      <c r="O308" s="57"/>
      <c r="Q308" s="140"/>
      <c r="R308" s="56"/>
      <c r="S308" s="57"/>
      <c r="U308" s="140"/>
      <c r="V308" s="56"/>
      <c r="W308" s="57"/>
      <c r="Y308" s="140"/>
      <c r="Z308" s="56"/>
      <c r="AA308" s="57"/>
      <c r="AC308" s="140"/>
      <c r="AD308" s="56"/>
      <c r="AE308" s="57"/>
      <c r="AG308" s="140"/>
      <c r="AH308" s="56"/>
      <c r="AI308" s="57"/>
      <c r="AK308" s="140"/>
      <c r="AL308" s="56"/>
      <c r="AM308" s="57"/>
      <c r="AO308" s="140"/>
      <c r="AP308" s="56"/>
      <c r="AQ308" s="57"/>
      <c r="AS308" s="140"/>
      <c r="AT308" s="56"/>
      <c r="AU308" s="57"/>
      <c r="AW308" s="140"/>
      <c r="AX308" s="56"/>
      <c r="AY308" s="57"/>
      <c r="BA308" s="140"/>
      <c r="BB308" s="56"/>
      <c r="BC308" s="57"/>
      <c r="BE308" s="140"/>
      <c r="BF308" s="56"/>
      <c r="BG308" s="57"/>
      <c r="BI308" s="140"/>
      <c r="BJ308" s="56"/>
      <c r="BK308" s="57"/>
      <c r="BM308" s="140"/>
      <c r="BN308" s="56"/>
      <c r="BO308" s="57"/>
      <c r="BQ308" s="140"/>
      <c r="BR308" s="56"/>
      <c r="BS308" s="57"/>
      <c r="BU308" s="140"/>
      <c r="BV308" s="56"/>
      <c r="BW308" s="57"/>
      <c r="BY308" s="140"/>
      <c r="BZ308" s="56"/>
      <c r="CA308" s="57"/>
      <c r="CC308" s="140"/>
      <c r="CD308" s="56"/>
      <c r="CE308" s="57"/>
      <c r="CG308" s="140"/>
      <c r="CH308" s="56"/>
      <c r="CI308" s="57"/>
    </row>
    <row r="309" ht="23.25" customHeight="1">
      <c r="A309" s="139"/>
      <c r="B309" s="153">
        <v>3.0</v>
      </c>
      <c r="C309" s="161" t="s">
        <v>218</v>
      </c>
      <c r="D309" s="155" t="s">
        <v>174</v>
      </c>
      <c r="E309" s="156" t="s">
        <v>171</v>
      </c>
      <c r="F309" s="38"/>
      <c r="G309" s="157"/>
      <c r="I309" s="156" t="s">
        <v>171</v>
      </c>
      <c r="J309" s="38"/>
      <c r="K309" s="157"/>
      <c r="M309" s="156" t="s">
        <v>171</v>
      </c>
      <c r="N309" s="38"/>
      <c r="O309" s="157"/>
      <c r="Q309" s="156" t="s">
        <v>171</v>
      </c>
      <c r="R309" s="38"/>
      <c r="S309" s="157"/>
      <c r="U309" s="156" t="s">
        <v>171</v>
      </c>
      <c r="V309" s="38"/>
      <c r="W309" s="157"/>
      <c r="Y309" s="156" t="s">
        <v>171</v>
      </c>
      <c r="Z309" s="38"/>
      <c r="AA309" s="157"/>
      <c r="AC309" s="156" t="s">
        <v>171</v>
      </c>
      <c r="AD309" s="38"/>
      <c r="AE309" s="157"/>
      <c r="AG309" s="156" t="s">
        <v>171</v>
      </c>
      <c r="AH309" s="38"/>
      <c r="AI309" s="157"/>
      <c r="AK309" s="156" t="s">
        <v>171</v>
      </c>
      <c r="AL309" s="38"/>
      <c r="AM309" s="157"/>
      <c r="AO309" s="156" t="s">
        <v>171</v>
      </c>
      <c r="AP309" s="38"/>
      <c r="AQ309" s="157"/>
      <c r="AS309" s="156" t="s">
        <v>171</v>
      </c>
      <c r="AT309" s="38"/>
      <c r="AU309" s="157"/>
      <c r="AW309" s="156" t="s">
        <v>171</v>
      </c>
      <c r="AX309" s="38"/>
      <c r="AY309" s="157"/>
      <c r="BA309" s="156" t="s">
        <v>171</v>
      </c>
      <c r="BB309" s="38"/>
      <c r="BC309" s="157"/>
      <c r="BE309" s="156" t="s">
        <v>171</v>
      </c>
      <c r="BF309" s="38"/>
      <c r="BG309" s="157"/>
      <c r="BI309" s="156" t="s">
        <v>171</v>
      </c>
      <c r="BJ309" s="38"/>
      <c r="BK309" s="157"/>
      <c r="BM309" s="156" t="s">
        <v>171</v>
      </c>
      <c r="BN309" s="38"/>
      <c r="BO309" s="157"/>
      <c r="BQ309" s="156" t="s">
        <v>171</v>
      </c>
      <c r="BR309" s="38"/>
      <c r="BS309" s="157"/>
      <c r="BU309" s="156" t="s">
        <v>171</v>
      </c>
      <c r="BV309" s="38"/>
      <c r="BW309" s="157"/>
      <c r="BY309" s="156" t="s">
        <v>171</v>
      </c>
      <c r="BZ309" s="38"/>
      <c r="CA309" s="157"/>
      <c r="CC309" s="156" t="s">
        <v>171</v>
      </c>
      <c r="CD309" s="38"/>
      <c r="CE309" s="157"/>
      <c r="CG309" s="156" t="s">
        <v>171</v>
      </c>
      <c r="CH309" s="38"/>
      <c r="CI309" s="157"/>
    </row>
    <row r="310" ht="8.25" customHeight="1">
      <c r="A310" s="166"/>
      <c r="E310" s="137"/>
      <c r="I310" s="137"/>
      <c r="M310" s="137"/>
      <c r="Q310" s="137"/>
      <c r="U310" s="137"/>
      <c r="Y310" s="137"/>
      <c r="AC310" s="137"/>
      <c r="AG310" s="137"/>
      <c r="AK310" s="137"/>
      <c r="AO310" s="137"/>
      <c r="AS310" s="137"/>
      <c r="AW310" s="137"/>
      <c r="BA310" s="137"/>
      <c r="BE310" s="137"/>
      <c r="BI310" s="137"/>
      <c r="BM310" s="137"/>
      <c r="BQ310" s="137"/>
      <c r="BU310" s="137"/>
      <c r="BY310" s="137"/>
      <c r="CC310" s="137"/>
      <c r="CG310" s="137"/>
    </row>
    <row r="311">
      <c r="A311" s="142" t="b">
        <v>0</v>
      </c>
      <c r="B311" s="165" t="s">
        <v>229</v>
      </c>
      <c r="C311" s="45"/>
      <c r="D311" s="172" t="s">
        <v>38</v>
      </c>
      <c r="E311" s="145" t="s">
        <v>167</v>
      </c>
      <c r="F311" s="146"/>
      <c r="G311" s="146"/>
      <c r="I311" s="145" t="s">
        <v>167</v>
      </c>
      <c r="J311" s="146"/>
      <c r="K311" s="146"/>
      <c r="M311" s="145" t="s">
        <v>167</v>
      </c>
      <c r="N311" s="146"/>
      <c r="O311" s="146"/>
      <c r="Q311" s="145" t="s">
        <v>167</v>
      </c>
      <c r="R311" s="146"/>
      <c r="S311" s="146"/>
      <c r="U311" s="145" t="s">
        <v>167</v>
      </c>
      <c r="V311" s="146"/>
      <c r="W311" s="146"/>
      <c r="Y311" s="145" t="s">
        <v>167</v>
      </c>
      <c r="Z311" s="146"/>
      <c r="AA311" s="146"/>
      <c r="AC311" s="145" t="s">
        <v>167</v>
      </c>
      <c r="AD311" s="146"/>
      <c r="AE311" s="146"/>
      <c r="AG311" s="145" t="s">
        <v>167</v>
      </c>
      <c r="AH311" s="146"/>
      <c r="AI311" s="146"/>
      <c r="AK311" s="145" t="s">
        <v>167</v>
      </c>
      <c r="AL311" s="146"/>
      <c r="AM311" s="146"/>
      <c r="AO311" s="145" t="s">
        <v>167</v>
      </c>
      <c r="AP311" s="146"/>
      <c r="AQ311" s="146"/>
      <c r="AS311" s="145" t="s">
        <v>167</v>
      </c>
      <c r="AT311" s="146"/>
      <c r="AU311" s="146"/>
      <c r="AW311" s="145" t="s">
        <v>167</v>
      </c>
      <c r="AX311" s="146"/>
      <c r="AY311" s="146"/>
      <c r="BA311" s="145" t="s">
        <v>167</v>
      </c>
      <c r="BB311" s="146"/>
      <c r="BC311" s="146"/>
      <c r="BE311" s="145" t="s">
        <v>167</v>
      </c>
      <c r="BF311" s="146"/>
      <c r="BG311" s="146"/>
      <c r="BI311" s="145" t="s">
        <v>167</v>
      </c>
      <c r="BJ311" s="146"/>
      <c r="BK311" s="146"/>
      <c r="BM311" s="145" t="s">
        <v>167</v>
      </c>
      <c r="BN311" s="146"/>
      <c r="BO311" s="146"/>
      <c r="BQ311" s="145" t="s">
        <v>167</v>
      </c>
      <c r="BR311" s="146"/>
      <c r="BS311" s="146"/>
      <c r="BU311" s="145" t="s">
        <v>167</v>
      </c>
      <c r="BV311" s="146"/>
      <c r="BW311" s="146"/>
      <c r="BY311" s="145" t="s">
        <v>167</v>
      </c>
      <c r="BZ311" s="146"/>
      <c r="CA311" s="146"/>
      <c r="CC311" s="145" t="s">
        <v>167</v>
      </c>
      <c r="CD311" s="146"/>
      <c r="CE311" s="146"/>
      <c r="CG311" s="145" t="s">
        <v>167</v>
      </c>
      <c r="CH311" s="146"/>
      <c r="CI311" s="146"/>
    </row>
    <row r="312">
      <c r="A312" s="147"/>
      <c r="B312" s="138"/>
      <c r="C312" s="52"/>
      <c r="D312" s="138"/>
      <c r="E312" s="139"/>
      <c r="F312" s="139"/>
      <c r="G312" s="139"/>
      <c r="I312" s="139"/>
      <c r="J312" s="139"/>
      <c r="K312" s="139"/>
      <c r="M312" s="139"/>
      <c r="N312" s="139"/>
      <c r="O312" s="139"/>
      <c r="Q312" s="139"/>
      <c r="R312" s="139"/>
      <c r="S312" s="139"/>
      <c r="U312" s="139"/>
      <c r="V312" s="139"/>
      <c r="W312" s="139"/>
      <c r="Y312" s="139"/>
      <c r="Z312" s="139"/>
      <c r="AA312" s="139"/>
      <c r="AC312" s="139"/>
      <c r="AD312" s="139"/>
      <c r="AE312" s="139"/>
      <c r="AG312" s="139"/>
      <c r="AH312" s="139"/>
      <c r="AI312" s="139"/>
      <c r="AK312" s="139"/>
      <c r="AL312" s="139"/>
      <c r="AM312" s="139"/>
      <c r="AO312" s="139"/>
      <c r="AP312" s="139"/>
      <c r="AQ312" s="139"/>
      <c r="AS312" s="139"/>
      <c r="AT312" s="139"/>
      <c r="AU312" s="139"/>
      <c r="AW312" s="139"/>
      <c r="AX312" s="139"/>
      <c r="AY312" s="139"/>
      <c r="BA312" s="139"/>
      <c r="BB312" s="139"/>
      <c r="BC312" s="139"/>
      <c r="BE312" s="139"/>
      <c r="BF312" s="139"/>
      <c r="BG312" s="139"/>
      <c r="BI312" s="139"/>
      <c r="BJ312" s="139"/>
      <c r="BK312" s="139"/>
      <c r="BM312" s="139"/>
      <c r="BN312" s="139"/>
      <c r="BO312" s="139"/>
      <c r="BQ312" s="139"/>
      <c r="BR312" s="139"/>
      <c r="BS312" s="139"/>
      <c r="BU312" s="139"/>
      <c r="BV312" s="139"/>
      <c r="BW312" s="139"/>
      <c r="BY312" s="139"/>
      <c r="BZ312" s="139"/>
      <c r="CA312" s="139"/>
      <c r="CC312" s="139"/>
      <c r="CD312" s="139"/>
      <c r="CE312" s="139"/>
      <c r="CG312" s="139"/>
      <c r="CH312" s="139"/>
      <c r="CI312" s="139"/>
    </row>
    <row r="313" ht="13.5" customHeight="1">
      <c r="A313" s="147"/>
      <c r="B313" s="138"/>
      <c r="C313" s="52"/>
      <c r="D313" s="138"/>
      <c r="E313" s="148"/>
      <c r="F313" s="149"/>
      <c r="G313" s="45"/>
      <c r="I313" s="148"/>
      <c r="J313" s="149"/>
      <c r="K313" s="45"/>
      <c r="M313" s="148"/>
      <c r="N313" s="149"/>
      <c r="O313" s="45"/>
      <c r="Q313" s="148"/>
      <c r="R313" s="149"/>
      <c r="S313" s="45"/>
      <c r="U313" s="148"/>
      <c r="V313" s="149"/>
      <c r="W313" s="45"/>
      <c r="Y313" s="148"/>
      <c r="Z313" s="149"/>
      <c r="AA313" s="45"/>
      <c r="AC313" s="148"/>
      <c r="AD313" s="149"/>
      <c r="AE313" s="45"/>
      <c r="AG313" s="148"/>
      <c r="AH313" s="149"/>
      <c r="AI313" s="45"/>
      <c r="AK313" s="148"/>
      <c r="AL313" s="149"/>
      <c r="AM313" s="45"/>
      <c r="AO313" s="148"/>
      <c r="AP313" s="149"/>
      <c r="AQ313" s="45"/>
      <c r="AS313" s="148"/>
      <c r="AT313" s="149"/>
      <c r="AU313" s="45"/>
      <c r="AW313" s="148"/>
      <c r="AX313" s="149"/>
      <c r="AY313" s="45"/>
      <c r="BA313" s="148"/>
      <c r="BB313" s="149"/>
      <c r="BC313" s="45"/>
      <c r="BE313" s="148"/>
      <c r="BF313" s="149"/>
      <c r="BG313" s="45"/>
      <c r="BI313" s="148"/>
      <c r="BJ313" s="149"/>
      <c r="BK313" s="45"/>
      <c r="BM313" s="148"/>
      <c r="BN313" s="149"/>
      <c r="BO313" s="45"/>
      <c r="BQ313" s="148"/>
      <c r="BR313" s="149"/>
      <c r="BS313" s="45"/>
      <c r="BU313" s="148"/>
      <c r="BV313" s="149"/>
      <c r="BW313" s="45"/>
      <c r="BY313" s="148"/>
      <c r="BZ313" s="149"/>
      <c r="CA313" s="45"/>
      <c r="CC313" s="148"/>
      <c r="CD313" s="149"/>
      <c r="CE313" s="45"/>
      <c r="CG313" s="148"/>
      <c r="CH313" s="149"/>
      <c r="CI313" s="45"/>
    </row>
    <row r="314" ht="13.5" customHeight="1">
      <c r="A314" s="147"/>
      <c r="B314" s="140"/>
      <c r="C314" s="57"/>
      <c r="D314" s="140"/>
      <c r="E314" s="138"/>
      <c r="G314" s="52"/>
      <c r="I314" s="138"/>
      <c r="K314" s="52"/>
      <c r="M314" s="138"/>
      <c r="O314" s="52"/>
      <c r="Q314" s="138"/>
      <c r="S314" s="52"/>
      <c r="U314" s="138"/>
      <c r="W314" s="52"/>
      <c r="Y314" s="138"/>
      <c r="AA314" s="52"/>
      <c r="AC314" s="138"/>
      <c r="AE314" s="52"/>
      <c r="AG314" s="138"/>
      <c r="AI314" s="52"/>
      <c r="AK314" s="138"/>
      <c r="AM314" s="52"/>
      <c r="AO314" s="138"/>
      <c r="AQ314" s="52"/>
      <c r="AS314" s="138"/>
      <c r="AU314" s="52"/>
      <c r="AW314" s="138"/>
      <c r="AY314" s="52"/>
      <c r="BA314" s="138"/>
      <c r="BC314" s="52"/>
      <c r="BE314" s="138"/>
      <c r="BG314" s="52"/>
      <c r="BI314" s="138"/>
      <c r="BK314" s="52"/>
      <c r="BM314" s="138"/>
      <c r="BO314" s="52"/>
      <c r="BQ314" s="138"/>
      <c r="BS314" s="52"/>
      <c r="BU314" s="138"/>
      <c r="BW314" s="52"/>
      <c r="BY314" s="138"/>
      <c r="CA314" s="52"/>
      <c r="CC314" s="138"/>
      <c r="CE314" s="52"/>
      <c r="CG314" s="138"/>
      <c r="CI314" s="52"/>
    </row>
    <row r="315" ht="26.25" customHeight="1">
      <c r="A315" s="147"/>
      <c r="B315" s="173" t="s">
        <v>168</v>
      </c>
      <c r="C315" s="174" t="s">
        <v>165</v>
      </c>
      <c r="D315" s="175" t="s">
        <v>164</v>
      </c>
      <c r="E315" s="140"/>
      <c r="F315" s="56"/>
      <c r="G315" s="57"/>
      <c r="I315" s="140"/>
      <c r="J315" s="56"/>
      <c r="K315" s="57"/>
      <c r="M315" s="140"/>
      <c r="N315" s="56"/>
      <c r="O315" s="57"/>
      <c r="Q315" s="140"/>
      <c r="R315" s="56"/>
      <c r="S315" s="57"/>
      <c r="U315" s="140"/>
      <c r="V315" s="56"/>
      <c r="W315" s="57"/>
      <c r="Y315" s="140"/>
      <c r="Z315" s="56"/>
      <c r="AA315" s="57"/>
      <c r="AC315" s="140"/>
      <c r="AD315" s="56"/>
      <c r="AE315" s="57"/>
      <c r="AG315" s="140"/>
      <c r="AH315" s="56"/>
      <c r="AI315" s="57"/>
      <c r="AK315" s="140"/>
      <c r="AL315" s="56"/>
      <c r="AM315" s="57"/>
      <c r="AO315" s="140"/>
      <c r="AP315" s="56"/>
      <c r="AQ315" s="57"/>
      <c r="AS315" s="140"/>
      <c r="AT315" s="56"/>
      <c r="AU315" s="57"/>
      <c r="AW315" s="140"/>
      <c r="AX315" s="56"/>
      <c r="AY315" s="57"/>
      <c r="BA315" s="140"/>
      <c r="BB315" s="56"/>
      <c r="BC315" s="57"/>
      <c r="BE315" s="140"/>
      <c r="BF315" s="56"/>
      <c r="BG315" s="57"/>
      <c r="BI315" s="140"/>
      <c r="BJ315" s="56"/>
      <c r="BK315" s="57"/>
      <c r="BM315" s="140"/>
      <c r="BN315" s="56"/>
      <c r="BO315" s="57"/>
      <c r="BQ315" s="140"/>
      <c r="BR315" s="56"/>
      <c r="BS315" s="57"/>
      <c r="BU315" s="140"/>
      <c r="BV315" s="56"/>
      <c r="BW315" s="57"/>
      <c r="BY315" s="140"/>
      <c r="BZ315" s="56"/>
      <c r="CA315" s="57"/>
      <c r="CC315" s="140"/>
      <c r="CD315" s="56"/>
      <c r="CE315" s="57"/>
      <c r="CG315" s="140"/>
      <c r="CH315" s="56"/>
      <c r="CI315" s="57"/>
    </row>
    <row r="316" ht="24.0" customHeight="1">
      <c r="A316" s="139"/>
      <c r="B316" s="153">
        <v>3.0</v>
      </c>
      <c r="C316" s="161" t="s">
        <v>218</v>
      </c>
      <c r="D316" s="155" t="s">
        <v>174</v>
      </c>
      <c r="E316" s="156" t="s">
        <v>171</v>
      </c>
      <c r="F316" s="38"/>
      <c r="G316" s="157"/>
      <c r="I316" s="156" t="s">
        <v>171</v>
      </c>
      <c r="J316" s="38"/>
      <c r="K316" s="157"/>
      <c r="M316" s="156" t="s">
        <v>171</v>
      </c>
      <c r="N316" s="38"/>
      <c r="O316" s="157"/>
      <c r="Q316" s="156" t="s">
        <v>171</v>
      </c>
      <c r="R316" s="38"/>
      <c r="S316" s="157"/>
      <c r="U316" s="156" t="s">
        <v>171</v>
      </c>
      <c r="V316" s="38"/>
      <c r="W316" s="157"/>
      <c r="Y316" s="156" t="s">
        <v>171</v>
      </c>
      <c r="Z316" s="38"/>
      <c r="AA316" s="157"/>
      <c r="AC316" s="156" t="s">
        <v>171</v>
      </c>
      <c r="AD316" s="38"/>
      <c r="AE316" s="157"/>
      <c r="AG316" s="156" t="s">
        <v>171</v>
      </c>
      <c r="AH316" s="38"/>
      <c r="AI316" s="157"/>
      <c r="AK316" s="156" t="s">
        <v>171</v>
      </c>
      <c r="AL316" s="38"/>
      <c r="AM316" s="157"/>
      <c r="AO316" s="156" t="s">
        <v>171</v>
      </c>
      <c r="AP316" s="38"/>
      <c r="AQ316" s="157"/>
      <c r="AS316" s="156" t="s">
        <v>171</v>
      </c>
      <c r="AT316" s="38"/>
      <c r="AU316" s="157"/>
      <c r="AW316" s="156" t="s">
        <v>171</v>
      </c>
      <c r="AX316" s="38"/>
      <c r="AY316" s="157"/>
      <c r="BA316" s="156" t="s">
        <v>171</v>
      </c>
      <c r="BB316" s="38"/>
      <c r="BC316" s="157"/>
      <c r="BE316" s="156" t="s">
        <v>171</v>
      </c>
      <c r="BF316" s="38"/>
      <c r="BG316" s="157"/>
      <c r="BI316" s="156" t="s">
        <v>171</v>
      </c>
      <c r="BJ316" s="38"/>
      <c r="BK316" s="157"/>
      <c r="BM316" s="156" t="s">
        <v>171</v>
      </c>
      <c r="BN316" s="38"/>
      <c r="BO316" s="157"/>
      <c r="BQ316" s="156" t="s">
        <v>171</v>
      </c>
      <c r="BR316" s="38"/>
      <c r="BS316" s="157"/>
      <c r="BU316" s="156" t="s">
        <v>171</v>
      </c>
      <c r="BV316" s="38"/>
      <c r="BW316" s="157"/>
      <c r="BY316" s="156" t="s">
        <v>171</v>
      </c>
      <c r="BZ316" s="38"/>
      <c r="CA316" s="157"/>
      <c r="CC316" s="156" t="s">
        <v>171</v>
      </c>
      <c r="CD316" s="38"/>
      <c r="CE316" s="157"/>
      <c r="CG316" s="156" t="s">
        <v>171</v>
      </c>
      <c r="CH316" s="38"/>
      <c r="CI316" s="157"/>
    </row>
    <row r="317" ht="8.25" customHeight="1">
      <c r="A317" s="166"/>
      <c r="E317" s="137"/>
      <c r="I317" s="137"/>
      <c r="M317" s="137"/>
      <c r="Q317" s="137"/>
      <c r="U317" s="137"/>
      <c r="Y317" s="137"/>
      <c r="AC317" s="137"/>
      <c r="AG317" s="137"/>
      <c r="AK317" s="137"/>
      <c r="AO317" s="137"/>
      <c r="AS317" s="137"/>
      <c r="AW317" s="137"/>
      <c r="BA317" s="137"/>
      <c r="BE317" s="137"/>
      <c r="BI317" s="137"/>
      <c r="BM317" s="137"/>
      <c r="BQ317" s="137"/>
      <c r="BU317" s="137"/>
      <c r="BY317" s="137"/>
      <c r="CC317" s="137"/>
      <c r="CG317" s="137"/>
    </row>
    <row r="318">
      <c r="A318" s="142" t="b">
        <v>0</v>
      </c>
      <c r="B318" s="143" t="s">
        <v>230</v>
      </c>
      <c r="C318" s="45"/>
      <c r="D318" s="172" t="s">
        <v>38</v>
      </c>
      <c r="E318" s="145" t="s">
        <v>167</v>
      </c>
      <c r="F318" s="146"/>
      <c r="G318" s="146"/>
      <c r="I318" s="145" t="s">
        <v>167</v>
      </c>
      <c r="J318" s="146"/>
      <c r="K318" s="146"/>
      <c r="M318" s="145" t="s">
        <v>167</v>
      </c>
      <c r="N318" s="146"/>
      <c r="O318" s="146"/>
      <c r="Q318" s="145" t="s">
        <v>167</v>
      </c>
      <c r="R318" s="146"/>
      <c r="S318" s="146"/>
      <c r="U318" s="145" t="s">
        <v>167</v>
      </c>
      <c r="V318" s="146"/>
      <c r="W318" s="146"/>
      <c r="Y318" s="145" t="s">
        <v>167</v>
      </c>
      <c r="Z318" s="146"/>
      <c r="AA318" s="146"/>
      <c r="AC318" s="145" t="s">
        <v>167</v>
      </c>
      <c r="AD318" s="146"/>
      <c r="AE318" s="146"/>
      <c r="AG318" s="145" t="s">
        <v>167</v>
      </c>
      <c r="AH318" s="146"/>
      <c r="AI318" s="146"/>
      <c r="AK318" s="145" t="s">
        <v>167</v>
      </c>
      <c r="AL318" s="146"/>
      <c r="AM318" s="146"/>
      <c r="AO318" s="145" t="s">
        <v>167</v>
      </c>
      <c r="AP318" s="146"/>
      <c r="AQ318" s="146"/>
      <c r="AS318" s="145" t="s">
        <v>167</v>
      </c>
      <c r="AT318" s="146"/>
      <c r="AU318" s="146"/>
      <c r="AW318" s="145" t="s">
        <v>167</v>
      </c>
      <c r="AX318" s="146"/>
      <c r="AY318" s="146"/>
      <c r="BA318" s="145" t="s">
        <v>167</v>
      </c>
      <c r="BB318" s="146"/>
      <c r="BC318" s="146"/>
      <c r="BE318" s="145" t="s">
        <v>167</v>
      </c>
      <c r="BF318" s="146"/>
      <c r="BG318" s="146"/>
      <c r="BI318" s="145" t="s">
        <v>167</v>
      </c>
      <c r="BJ318" s="146"/>
      <c r="BK318" s="146"/>
      <c r="BM318" s="145" t="s">
        <v>167</v>
      </c>
      <c r="BN318" s="146"/>
      <c r="BO318" s="146"/>
      <c r="BQ318" s="145" t="s">
        <v>167</v>
      </c>
      <c r="BR318" s="146"/>
      <c r="BS318" s="146"/>
      <c r="BU318" s="145" t="s">
        <v>167</v>
      </c>
      <c r="BV318" s="146"/>
      <c r="BW318" s="146"/>
      <c r="BY318" s="145" t="s">
        <v>167</v>
      </c>
      <c r="BZ318" s="146"/>
      <c r="CA318" s="146"/>
      <c r="CC318" s="145" t="s">
        <v>167</v>
      </c>
      <c r="CD318" s="146"/>
      <c r="CE318" s="146"/>
      <c r="CG318" s="145" t="s">
        <v>167</v>
      </c>
      <c r="CH318" s="146"/>
      <c r="CI318" s="146"/>
    </row>
    <row r="319">
      <c r="A319" s="147"/>
      <c r="B319" s="138"/>
      <c r="C319" s="52"/>
      <c r="D319" s="138"/>
      <c r="E319" s="139"/>
      <c r="F319" s="139"/>
      <c r="G319" s="139"/>
      <c r="I319" s="139"/>
      <c r="J319" s="139"/>
      <c r="K319" s="139"/>
      <c r="M319" s="139"/>
      <c r="N319" s="139"/>
      <c r="O319" s="139"/>
      <c r="Q319" s="139"/>
      <c r="R319" s="139"/>
      <c r="S319" s="139"/>
      <c r="U319" s="139"/>
      <c r="V319" s="139"/>
      <c r="W319" s="139"/>
      <c r="Y319" s="139"/>
      <c r="Z319" s="139"/>
      <c r="AA319" s="139"/>
      <c r="AC319" s="139"/>
      <c r="AD319" s="139"/>
      <c r="AE319" s="139"/>
      <c r="AG319" s="139"/>
      <c r="AH319" s="139"/>
      <c r="AI319" s="139"/>
      <c r="AK319" s="139"/>
      <c r="AL319" s="139"/>
      <c r="AM319" s="139"/>
      <c r="AO319" s="139"/>
      <c r="AP319" s="139"/>
      <c r="AQ319" s="139"/>
      <c r="AS319" s="139"/>
      <c r="AT319" s="139"/>
      <c r="AU319" s="139"/>
      <c r="AW319" s="139"/>
      <c r="AX319" s="139"/>
      <c r="AY319" s="139"/>
      <c r="BA319" s="139"/>
      <c r="BB319" s="139"/>
      <c r="BC319" s="139"/>
      <c r="BE319" s="139"/>
      <c r="BF319" s="139"/>
      <c r="BG319" s="139"/>
      <c r="BI319" s="139"/>
      <c r="BJ319" s="139"/>
      <c r="BK319" s="139"/>
      <c r="BM319" s="139"/>
      <c r="BN319" s="139"/>
      <c r="BO319" s="139"/>
      <c r="BQ319" s="139"/>
      <c r="BR319" s="139"/>
      <c r="BS319" s="139"/>
      <c r="BU319" s="139"/>
      <c r="BV319" s="139"/>
      <c r="BW319" s="139"/>
      <c r="BY319" s="139"/>
      <c r="BZ319" s="139"/>
      <c r="CA319" s="139"/>
      <c r="CC319" s="139"/>
      <c r="CD319" s="139"/>
      <c r="CE319" s="139"/>
      <c r="CG319" s="139"/>
      <c r="CH319" s="139"/>
      <c r="CI319" s="139"/>
    </row>
    <row r="320" ht="15.0" customHeight="1">
      <c r="A320" s="147"/>
      <c r="B320" s="138"/>
      <c r="C320" s="52"/>
      <c r="D320" s="138"/>
      <c r="E320" s="148"/>
      <c r="F320" s="149"/>
      <c r="G320" s="45"/>
      <c r="I320" s="148"/>
      <c r="J320" s="149"/>
      <c r="K320" s="45"/>
      <c r="M320" s="148"/>
      <c r="N320" s="149"/>
      <c r="O320" s="45"/>
      <c r="Q320" s="148"/>
      <c r="R320" s="149"/>
      <c r="S320" s="45"/>
      <c r="U320" s="148"/>
      <c r="V320" s="149"/>
      <c r="W320" s="45"/>
      <c r="Y320" s="148"/>
      <c r="Z320" s="149"/>
      <c r="AA320" s="45"/>
      <c r="AC320" s="148"/>
      <c r="AD320" s="149"/>
      <c r="AE320" s="45"/>
      <c r="AG320" s="148"/>
      <c r="AH320" s="149"/>
      <c r="AI320" s="45"/>
      <c r="AK320" s="148"/>
      <c r="AL320" s="149"/>
      <c r="AM320" s="45"/>
      <c r="AO320" s="148"/>
      <c r="AP320" s="149"/>
      <c r="AQ320" s="45"/>
      <c r="AS320" s="148"/>
      <c r="AT320" s="149"/>
      <c r="AU320" s="45"/>
      <c r="AW320" s="148"/>
      <c r="AX320" s="149"/>
      <c r="AY320" s="45"/>
      <c r="BA320" s="148"/>
      <c r="BB320" s="149"/>
      <c r="BC320" s="45"/>
      <c r="BE320" s="148"/>
      <c r="BF320" s="149"/>
      <c r="BG320" s="45"/>
      <c r="BI320" s="148"/>
      <c r="BJ320" s="149"/>
      <c r="BK320" s="45"/>
      <c r="BM320" s="148"/>
      <c r="BN320" s="149"/>
      <c r="BO320" s="45"/>
      <c r="BQ320" s="148"/>
      <c r="BR320" s="149"/>
      <c r="BS320" s="45"/>
      <c r="BU320" s="148"/>
      <c r="BV320" s="149"/>
      <c r="BW320" s="45"/>
      <c r="BY320" s="148"/>
      <c r="BZ320" s="149"/>
      <c r="CA320" s="45"/>
      <c r="CC320" s="148"/>
      <c r="CD320" s="149"/>
      <c r="CE320" s="45"/>
      <c r="CG320" s="148"/>
      <c r="CH320" s="149"/>
      <c r="CI320" s="45"/>
    </row>
    <row r="321" ht="15.0" customHeight="1">
      <c r="A321" s="147"/>
      <c r="B321" s="140"/>
      <c r="C321" s="57"/>
      <c r="D321" s="140"/>
      <c r="E321" s="138"/>
      <c r="G321" s="52"/>
      <c r="I321" s="138"/>
      <c r="K321" s="52"/>
      <c r="M321" s="138"/>
      <c r="O321" s="52"/>
      <c r="Q321" s="138"/>
      <c r="S321" s="52"/>
      <c r="U321" s="138"/>
      <c r="W321" s="52"/>
      <c r="Y321" s="138"/>
      <c r="AA321" s="52"/>
      <c r="AC321" s="138"/>
      <c r="AE321" s="52"/>
      <c r="AG321" s="138"/>
      <c r="AI321" s="52"/>
      <c r="AK321" s="138"/>
      <c r="AM321" s="52"/>
      <c r="AO321" s="138"/>
      <c r="AQ321" s="52"/>
      <c r="AS321" s="138"/>
      <c r="AU321" s="52"/>
      <c r="AW321" s="138"/>
      <c r="AY321" s="52"/>
      <c r="BA321" s="138"/>
      <c r="BC321" s="52"/>
      <c r="BE321" s="138"/>
      <c r="BG321" s="52"/>
      <c r="BI321" s="138"/>
      <c r="BK321" s="52"/>
      <c r="BM321" s="138"/>
      <c r="BO321" s="52"/>
      <c r="BQ321" s="138"/>
      <c r="BS321" s="52"/>
      <c r="BU321" s="138"/>
      <c r="BW321" s="52"/>
      <c r="BY321" s="138"/>
      <c r="CA321" s="52"/>
      <c r="CC321" s="138"/>
      <c r="CE321" s="52"/>
      <c r="CG321" s="138"/>
      <c r="CI321" s="52"/>
    </row>
    <row r="322" ht="25.5" customHeight="1">
      <c r="A322" s="147"/>
      <c r="B322" s="173" t="s">
        <v>168</v>
      </c>
      <c r="C322" s="174" t="s">
        <v>165</v>
      </c>
      <c r="D322" s="175" t="s">
        <v>164</v>
      </c>
      <c r="E322" s="140"/>
      <c r="F322" s="56"/>
      <c r="G322" s="57"/>
      <c r="I322" s="140"/>
      <c r="J322" s="56"/>
      <c r="K322" s="57"/>
      <c r="M322" s="140"/>
      <c r="N322" s="56"/>
      <c r="O322" s="57"/>
      <c r="Q322" s="140"/>
      <c r="R322" s="56"/>
      <c r="S322" s="57"/>
      <c r="U322" s="140"/>
      <c r="V322" s="56"/>
      <c r="W322" s="57"/>
      <c r="Y322" s="140"/>
      <c r="Z322" s="56"/>
      <c r="AA322" s="57"/>
      <c r="AC322" s="140"/>
      <c r="AD322" s="56"/>
      <c r="AE322" s="57"/>
      <c r="AG322" s="140"/>
      <c r="AH322" s="56"/>
      <c r="AI322" s="57"/>
      <c r="AK322" s="140"/>
      <c r="AL322" s="56"/>
      <c r="AM322" s="57"/>
      <c r="AO322" s="140"/>
      <c r="AP322" s="56"/>
      <c r="AQ322" s="57"/>
      <c r="AS322" s="140"/>
      <c r="AT322" s="56"/>
      <c r="AU322" s="57"/>
      <c r="AW322" s="140"/>
      <c r="AX322" s="56"/>
      <c r="AY322" s="57"/>
      <c r="BA322" s="140"/>
      <c r="BB322" s="56"/>
      <c r="BC322" s="57"/>
      <c r="BE322" s="140"/>
      <c r="BF322" s="56"/>
      <c r="BG322" s="57"/>
      <c r="BI322" s="140"/>
      <c r="BJ322" s="56"/>
      <c r="BK322" s="57"/>
      <c r="BM322" s="140"/>
      <c r="BN322" s="56"/>
      <c r="BO322" s="57"/>
      <c r="BQ322" s="140"/>
      <c r="BR322" s="56"/>
      <c r="BS322" s="57"/>
      <c r="BU322" s="140"/>
      <c r="BV322" s="56"/>
      <c r="BW322" s="57"/>
      <c r="BY322" s="140"/>
      <c r="BZ322" s="56"/>
      <c r="CA322" s="57"/>
      <c r="CC322" s="140"/>
      <c r="CD322" s="56"/>
      <c r="CE322" s="57"/>
      <c r="CG322" s="140"/>
      <c r="CH322" s="56"/>
      <c r="CI322" s="57"/>
    </row>
    <row r="323" ht="25.5" customHeight="1">
      <c r="A323" s="139"/>
      <c r="B323" s="153">
        <v>3.0</v>
      </c>
      <c r="C323" s="153" t="s">
        <v>231</v>
      </c>
      <c r="D323" s="155" t="s">
        <v>232</v>
      </c>
      <c r="E323" s="156" t="s">
        <v>171</v>
      </c>
      <c r="F323" s="38"/>
      <c r="G323" s="157"/>
      <c r="I323" s="156" t="s">
        <v>171</v>
      </c>
      <c r="J323" s="38"/>
      <c r="K323" s="157"/>
      <c r="M323" s="156" t="s">
        <v>171</v>
      </c>
      <c r="N323" s="38"/>
      <c r="O323" s="157"/>
      <c r="Q323" s="156" t="s">
        <v>171</v>
      </c>
      <c r="R323" s="38"/>
      <c r="S323" s="157"/>
      <c r="U323" s="156" t="s">
        <v>171</v>
      </c>
      <c r="V323" s="38"/>
      <c r="W323" s="157"/>
      <c r="Y323" s="156" t="s">
        <v>171</v>
      </c>
      <c r="Z323" s="38"/>
      <c r="AA323" s="157"/>
      <c r="AC323" s="156" t="s">
        <v>171</v>
      </c>
      <c r="AD323" s="38"/>
      <c r="AE323" s="157"/>
      <c r="AG323" s="156" t="s">
        <v>171</v>
      </c>
      <c r="AH323" s="38"/>
      <c r="AI323" s="157"/>
      <c r="AK323" s="156" t="s">
        <v>171</v>
      </c>
      <c r="AL323" s="38"/>
      <c r="AM323" s="157"/>
      <c r="AO323" s="156" t="s">
        <v>171</v>
      </c>
      <c r="AP323" s="38"/>
      <c r="AQ323" s="157"/>
      <c r="AS323" s="156" t="s">
        <v>171</v>
      </c>
      <c r="AT323" s="38"/>
      <c r="AU323" s="157"/>
      <c r="AW323" s="156" t="s">
        <v>171</v>
      </c>
      <c r="AX323" s="38"/>
      <c r="AY323" s="157"/>
      <c r="BA323" s="156" t="s">
        <v>171</v>
      </c>
      <c r="BB323" s="38"/>
      <c r="BC323" s="157"/>
      <c r="BE323" s="156" t="s">
        <v>171</v>
      </c>
      <c r="BF323" s="38"/>
      <c r="BG323" s="157"/>
      <c r="BI323" s="156" t="s">
        <v>171</v>
      </c>
      <c r="BJ323" s="38"/>
      <c r="BK323" s="157"/>
      <c r="BM323" s="156" t="s">
        <v>171</v>
      </c>
      <c r="BN323" s="38"/>
      <c r="BO323" s="157"/>
      <c r="BQ323" s="156" t="s">
        <v>171</v>
      </c>
      <c r="BR323" s="38"/>
      <c r="BS323" s="157"/>
      <c r="BU323" s="156" t="s">
        <v>171</v>
      </c>
      <c r="BV323" s="38"/>
      <c r="BW323" s="157"/>
      <c r="BY323" s="156" t="s">
        <v>171</v>
      </c>
      <c r="BZ323" s="38"/>
      <c r="CA323" s="157"/>
      <c r="CC323" s="156" t="s">
        <v>171</v>
      </c>
      <c r="CD323" s="38"/>
      <c r="CE323" s="157"/>
      <c r="CG323" s="156" t="s">
        <v>171</v>
      </c>
      <c r="CH323" s="38"/>
      <c r="CI323" s="157"/>
    </row>
    <row r="324">
      <c r="A324" s="169"/>
      <c r="E324" s="170"/>
      <c r="F324" s="159"/>
      <c r="G324" s="159"/>
      <c r="H324" s="159"/>
      <c r="I324" s="159"/>
      <c r="J324" s="159"/>
      <c r="K324" s="159"/>
      <c r="L324" s="159"/>
      <c r="M324" s="159"/>
      <c r="N324" s="159"/>
      <c r="O324" s="159"/>
      <c r="P324" s="159"/>
      <c r="Q324" s="159"/>
      <c r="R324" s="159"/>
      <c r="S324" s="159"/>
      <c r="T324" s="159"/>
      <c r="U324" s="159"/>
      <c r="V324" s="159"/>
      <c r="W324" s="159"/>
      <c r="X324" s="159"/>
      <c r="Y324" s="159"/>
      <c r="Z324" s="159"/>
      <c r="AA324" s="159"/>
      <c r="AB324" s="159"/>
      <c r="AC324" s="159"/>
      <c r="AD324" s="159"/>
      <c r="AE324" s="159"/>
      <c r="AF324" s="159"/>
      <c r="AG324" s="159"/>
      <c r="AH324" s="159"/>
      <c r="AI324" s="159"/>
      <c r="AJ324" s="159"/>
      <c r="AK324" s="159"/>
      <c r="AL324" s="159"/>
      <c r="AM324" s="159"/>
      <c r="AN324" s="159"/>
      <c r="AO324" s="159"/>
      <c r="AP324" s="159"/>
      <c r="AQ324" s="159"/>
      <c r="AR324" s="159"/>
      <c r="AS324" s="159"/>
      <c r="AT324" s="159"/>
      <c r="AU324" s="159"/>
      <c r="AV324" s="159"/>
      <c r="AW324" s="159"/>
      <c r="AX324" s="159"/>
      <c r="AY324" s="159"/>
      <c r="AZ324" s="159"/>
      <c r="BA324" s="159"/>
      <c r="BB324" s="159"/>
      <c r="BC324" s="159"/>
      <c r="BD324" s="159"/>
      <c r="BE324" s="159"/>
      <c r="BF324" s="159"/>
      <c r="BG324" s="159"/>
      <c r="BH324" s="159"/>
      <c r="BI324" s="159"/>
      <c r="BJ324" s="159"/>
      <c r="BK324" s="159"/>
      <c r="BL324" s="159"/>
      <c r="BM324" s="159"/>
      <c r="BN324" s="159"/>
      <c r="BO324" s="159"/>
      <c r="BP324" s="159"/>
      <c r="BQ324" s="159"/>
      <c r="BR324" s="159"/>
      <c r="BS324" s="159"/>
      <c r="BT324" s="159"/>
      <c r="BU324" s="159"/>
      <c r="BV324" s="159"/>
      <c r="BW324" s="159"/>
      <c r="BX324" s="159"/>
      <c r="BY324" s="159"/>
      <c r="BZ324" s="159"/>
      <c r="CA324" s="159"/>
      <c r="CB324" s="159"/>
      <c r="CC324" s="159"/>
      <c r="CD324" s="159"/>
      <c r="CE324" s="159"/>
      <c r="CF324" s="159"/>
      <c r="CG324" s="159"/>
      <c r="CH324" s="159"/>
      <c r="CI324" s="38"/>
    </row>
    <row r="325">
      <c r="A325" s="130" t="s">
        <v>139</v>
      </c>
      <c r="B325" s="131" t="s">
        <v>233</v>
      </c>
      <c r="C325" s="45"/>
      <c r="D325" s="132" t="s">
        <v>141</v>
      </c>
      <c r="E325" s="133" t="s">
        <v>142</v>
      </c>
      <c r="F325" s="134" t="s">
        <v>143</v>
      </c>
      <c r="G325" s="45"/>
      <c r="H325" s="171"/>
      <c r="I325" s="133" t="s">
        <v>142</v>
      </c>
      <c r="J325" s="134" t="s">
        <v>144</v>
      </c>
      <c r="K325" s="45"/>
      <c r="L325" s="135"/>
      <c r="M325" s="133" t="s">
        <v>142</v>
      </c>
      <c r="N325" s="136" t="s">
        <v>145</v>
      </c>
      <c r="O325" s="45"/>
      <c r="P325" s="137"/>
      <c r="Q325" s="133" t="s">
        <v>142</v>
      </c>
      <c r="R325" s="136" t="s">
        <v>146</v>
      </c>
      <c r="S325" s="45"/>
      <c r="T325" s="137"/>
      <c r="U325" s="133" t="s">
        <v>142</v>
      </c>
      <c r="V325" s="136" t="s">
        <v>147</v>
      </c>
      <c r="W325" s="45"/>
      <c r="X325" s="137"/>
      <c r="Y325" s="133" t="s">
        <v>142</v>
      </c>
      <c r="Z325" s="136" t="s">
        <v>148</v>
      </c>
      <c r="AA325" s="45"/>
      <c r="AB325" s="137"/>
      <c r="AC325" s="133" t="s">
        <v>142</v>
      </c>
      <c r="AD325" s="136" t="s">
        <v>149</v>
      </c>
      <c r="AE325" s="45"/>
      <c r="AF325" s="137"/>
      <c r="AG325" s="133" t="s">
        <v>142</v>
      </c>
      <c r="AH325" s="136" t="s">
        <v>150</v>
      </c>
      <c r="AI325" s="45"/>
      <c r="AJ325" s="137"/>
      <c r="AK325" s="133" t="s">
        <v>142</v>
      </c>
      <c r="AL325" s="136" t="s">
        <v>151</v>
      </c>
      <c r="AM325" s="45"/>
      <c r="AN325" s="137"/>
      <c r="AO325" s="133" t="s">
        <v>142</v>
      </c>
      <c r="AP325" s="136" t="s">
        <v>152</v>
      </c>
      <c r="AQ325" s="45"/>
      <c r="AR325" s="137"/>
      <c r="AS325" s="133" t="s">
        <v>142</v>
      </c>
      <c r="AT325" s="136" t="s">
        <v>153</v>
      </c>
      <c r="AU325" s="45"/>
      <c r="AV325" s="137"/>
      <c r="AW325" s="133" t="s">
        <v>142</v>
      </c>
      <c r="AX325" s="136" t="s">
        <v>154</v>
      </c>
      <c r="AY325" s="45"/>
      <c r="AZ325" s="137"/>
      <c r="BA325" s="133" t="s">
        <v>142</v>
      </c>
      <c r="BB325" s="136" t="s">
        <v>155</v>
      </c>
      <c r="BC325" s="45"/>
      <c r="BD325" s="137"/>
      <c r="BE325" s="133" t="s">
        <v>142</v>
      </c>
      <c r="BF325" s="136" t="s">
        <v>156</v>
      </c>
      <c r="BG325" s="45"/>
      <c r="BH325" s="137"/>
      <c r="BI325" s="133" t="s">
        <v>142</v>
      </c>
      <c r="BJ325" s="136" t="s">
        <v>157</v>
      </c>
      <c r="BK325" s="45"/>
      <c r="BL325" s="137"/>
      <c r="BM325" s="133" t="s">
        <v>142</v>
      </c>
      <c r="BN325" s="136" t="s">
        <v>158</v>
      </c>
      <c r="BO325" s="45"/>
      <c r="BP325" s="137"/>
      <c r="BQ325" s="133" t="s">
        <v>142</v>
      </c>
      <c r="BR325" s="136" t="s">
        <v>159</v>
      </c>
      <c r="BS325" s="45"/>
      <c r="BT325" s="137"/>
      <c r="BU325" s="133" t="s">
        <v>142</v>
      </c>
      <c r="BV325" s="136" t="s">
        <v>160</v>
      </c>
      <c r="BW325" s="45"/>
      <c r="BX325" s="137"/>
      <c r="BY325" s="133" t="s">
        <v>142</v>
      </c>
      <c r="BZ325" s="136" t="s">
        <v>161</v>
      </c>
      <c r="CA325" s="45"/>
      <c r="CB325" s="137"/>
      <c r="CC325" s="133" t="s">
        <v>142</v>
      </c>
      <c r="CD325" s="136" t="s">
        <v>162</v>
      </c>
      <c r="CE325" s="45"/>
      <c r="CF325" s="137"/>
      <c r="CG325" s="133" t="s">
        <v>142</v>
      </c>
      <c r="CH325" s="136" t="s">
        <v>163</v>
      </c>
      <c r="CI325" s="45"/>
    </row>
    <row r="326">
      <c r="A326" s="138"/>
      <c r="B326" s="138"/>
      <c r="C326" s="52"/>
      <c r="D326" s="138"/>
      <c r="E326" s="139"/>
      <c r="F326" s="140"/>
      <c r="G326" s="57"/>
      <c r="I326" s="139"/>
      <c r="J326" s="140"/>
      <c r="K326" s="57"/>
      <c r="M326" s="139"/>
      <c r="N326" s="140"/>
      <c r="O326" s="57"/>
      <c r="Q326" s="139"/>
      <c r="R326" s="140"/>
      <c r="S326" s="57"/>
      <c r="U326" s="139"/>
      <c r="V326" s="140"/>
      <c r="W326" s="57"/>
      <c r="Y326" s="139"/>
      <c r="Z326" s="140"/>
      <c r="AA326" s="57"/>
      <c r="AC326" s="139"/>
      <c r="AD326" s="140"/>
      <c r="AE326" s="57"/>
      <c r="AG326" s="139"/>
      <c r="AH326" s="140"/>
      <c r="AI326" s="57"/>
      <c r="AK326" s="139"/>
      <c r="AL326" s="140"/>
      <c r="AM326" s="57"/>
      <c r="AO326" s="139"/>
      <c r="AP326" s="140"/>
      <c r="AQ326" s="57"/>
      <c r="AS326" s="139"/>
      <c r="AT326" s="140"/>
      <c r="AU326" s="57"/>
      <c r="AW326" s="139"/>
      <c r="AX326" s="140"/>
      <c r="AY326" s="57"/>
      <c r="BA326" s="139"/>
      <c r="BB326" s="140"/>
      <c r="BC326" s="57"/>
      <c r="BE326" s="139"/>
      <c r="BF326" s="140"/>
      <c r="BG326" s="57"/>
      <c r="BI326" s="139"/>
      <c r="BJ326" s="140"/>
      <c r="BK326" s="57"/>
      <c r="BM326" s="139"/>
      <c r="BN326" s="140"/>
      <c r="BO326" s="57"/>
      <c r="BQ326" s="139"/>
      <c r="BR326" s="140"/>
      <c r="BS326" s="57"/>
      <c r="BU326" s="139"/>
      <c r="BV326" s="140"/>
      <c r="BW326" s="57"/>
      <c r="BY326" s="139"/>
      <c r="BZ326" s="140"/>
      <c r="CA326" s="57"/>
      <c r="CC326" s="139"/>
      <c r="CD326" s="140"/>
      <c r="CE326" s="57"/>
      <c r="CG326" s="139"/>
      <c r="CH326" s="140"/>
      <c r="CI326" s="57"/>
    </row>
    <row r="327">
      <c r="A327" s="138"/>
      <c r="B327" s="138"/>
      <c r="C327" s="52"/>
      <c r="D327" s="138"/>
      <c r="E327" s="141">
        <v>46023.0</v>
      </c>
      <c r="F327" s="133" t="s">
        <v>164</v>
      </c>
      <c r="G327" s="133" t="s">
        <v>165</v>
      </c>
      <c r="I327" s="141">
        <v>46023.0</v>
      </c>
      <c r="J327" s="133" t="s">
        <v>164</v>
      </c>
      <c r="K327" s="133" t="s">
        <v>165</v>
      </c>
      <c r="M327" s="141">
        <v>46023.0</v>
      </c>
      <c r="N327" s="133" t="s">
        <v>164</v>
      </c>
      <c r="O327" s="133" t="s">
        <v>165</v>
      </c>
      <c r="Q327" s="141">
        <v>46023.0</v>
      </c>
      <c r="R327" s="133" t="s">
        <v>164</v>
      </c>
      <c r="S327" s="133" t="s">
        <v>165</v>
      </c>
      <c r="U327" s="141">
        <v>46023.0</v>
      </c>
      <c r="V327" s="133" t="s">
        <v>164</v>
      </c>
      <c r="W327" s="133" t="s">
        <v>165</v>
      </c>
      <c r="Y327" s="141">
        <v>46023.0</v>
      </c>
      <c r="Z327" s="133" t="s">
        <v>164</v>
      </c>
      <c r="AA327" s="133" t="s">
        <v>165</v>
      </c>
      <c r="AC327" s="141">
        <v>46023.0</v>
      </c>
      <c r="AD327" s="133" t="s">
        <v>164</v>
      </c>
      <c r="AE327" s="133" t="s">
        <v>165</v>
      </c>
      <c r="AG327" s="141">
        <v>46023.0</v>
      </c>
      <c r="AH327" s="133" t="s">
        <v>164</v>
      </c>
      <c r="AI327" s="133" t="s">
        <v>165</v>
      </c>
      <c r="AK327" s="141">
        <v>46023.0</v>
      </c>
      <c r="AL327" s="133" t="s">
        <v>164</v>
      </c>
      <c r="AM327" s="133" t="s">
        <v>165</v>
      </c>
      <c r="AO327" s="141">
        <v>46023.0</v>
      </c>
      <c r="AP327" s="133" t="s">
        <v>164</v>
      </c>
      <c r="AQ327" s="133" t="s">
        <v>165</v>
      </c>
      <c r="AS327" s="141">
        <v>46023.0</v>
      </c>
      <c r="AT327" s="133" t="s">
        <v>164</v>
      </c>
      <c r="AU327" s="133" t="s">
        <v>165</v>
      </c>
      <c r="AW327" s="141">
        <v>46023.0</v>
      </c>
      <c r="AX327" s="133" t="s">
        <v>164</v>
      </c>
      <c r="AY327" s="133" t="s">
        <v>165</v>
      </c>
      <c r="BA327" s="141">
        <v>46023.0</v>
      </c>
      <c r="BB327" s="133" t="s">
        <v>164</v>
      </c>
      <c r="BC327" s="133" t="s">
        <v>165</v>
      </c>
      <c r="BE327" s="141">
        <v>46023.0</v>
      </c>
      <c r="BF327" s="133" t="s">
        <v>164</v>
      </c>
      <c r="BG327" s="133" t="s">
        <v>165</v>
      </c>
      <c r="BI327" s="141">
        <v>46023.0</v>
      </c>
      <c r="BJ327" s="133" t="s">
        <v>164</v>
      </c>
      <c r="BK327" s="133" t="s">
        <v>165</v>
      </c>
      <c r="BM327" s="141">
        <v>46023.0</v>
      </c>
      <c r="BN327" s="133" t="s">
        <v>164</v>
      </c>
      <c r="BO327" s="133" t="s">
        <v>165</v>
      </c>
      <c r="BQ327" s="141">
        <v>46023.0</v>
      </c>
      <c r="BR327" s="133" t="s">
        <v>164</v>
      </c>
      <c r="BS327" s="133" t="s">
        <v>165</v>
      </c>
      <c r="BU327" s="141">
        <v>46023.0</v>
      </c>
      <c r="BV327" s="133" t="s">
        <v>164</v>
      </c>
      <c r="BW327" s="133" t="s">
        <v>165</v>
      </c>
      <c r="BY327" s="141">
        <v>46023.0</v>
      </c>
      <c r="BZ327" s="133" t="s">
        <v>164</v>
      </c>
      <c r="CA327" s="133" t="s">
        <v>165</v>
      </c>
      <c r="CC327" s="141">
        <v>46023.0</v>
      </c>
      <c r="CD327" s="133" t="s">
        <v>164</v>
      </c>
      <c r="CE327" s="133" t="s">
        <v>165</v>
      </c>
      <c r="CG327" s="141">
        <v>46023.0</v>
      </c>
      <c r="CH327" s="133" t="s">
        <v>164</v>
      </c>
      <c r="CI327" s="133" t="s">
        <v>165</v>
      </c>
    </row>
    <row r="328">
      <c r="A328" s="140"/>
      <c r="B328" s="140"/>
      <c r="C328" s="57"/>
      <c r="D328" s="140"/>
      <c r="E328" s="139"/>
      <c r="F328" s="139"/>
      <c r="G328" s="139"/>
      <c r="I328" s="139"/>
      <c r="J328" s="139"/>
      <c r="K328" s="139"/>
      <c r="M328" s="139"/>
      <c r="N328" s="139"/>
      <c r="O328" s="139"/>
      <c r="Q328" s="139"/>
      <c r="R328" s="139"/>
      <c r="S328" s="139"/>
      <c r="U328" s="139"/>
      <c r="V328" s="139"/>
      <c r="W328" s="139"/>
      <c r="Y328" s="139"/>
      <c r="Z328" s="139"/>
      <c r="AA328" s="139"/>
      <c r="AC328" s="139"/>
      <c r="AD328" s="139"/>
      <c r="AE328" s="139"/>
      <c r="AG328" s="139"/>
      <c r="AH328" s="139"/>
      <c r="AI328" s="139"/>
      <c r="AK328" s="139"/>
      <c r="AL328" s="139"/>
      <c r="AM328" s="139"/>
      <c r="AO328" s="139"/>
      <c r="AP328" s="139"/>
      <c r="AQ328" s="139"/>
      <c r="AS328" s="139"/>
      <c r="AT328" s="139"/>
      <c r="AU328" s="139"/>
      <c r="AW328" s="139"/>
      <c r="AX328" s="139"/>
      <c r="AY328" s="139"/>
      <c r="BA328" s="139"/>
      <c r="BB328" s="139"/>
      <c r="BC328" s="139"/>
      <c r="BE328" s="139"/>
      <c r="BF328" s="139"/>
      <c r="BG328" s="139"/>
      <c r="BI328" s="139"/>
      <c r="BJ328" s="139"/>
      <c r="BK328" s="139"/>
      <c r="BM328" s="139"/>
      <c r="BN328" s="139"/>
      <c r="BO328" s="139"/>
      <c r="BQ328" s="139"/>
      <c r="BR328" s="139"/>
      <c r="BS328" s="139"/>
      <c r="BU328" s="139"/>
      <c r="BV328" s="139"/>
      <c r="BW328" s="139"/>
      <c r="BY328" s="139"/>
      <c r="BZ328" s="139"/>
      <c r="CA328" s="139"/>
      <c r="CC328" s="139"/>
      <c r="CD328" s="139"/>
      <c r="CE328" s="139"/>
      <c r="CG328" s="139"/>
      <c r="CH328" s="139"/>
      <c r="CI328" s="139"/>
    </row>
    <row r="329">
      <c r="A329" s="142" t="b">
        <v>0</v>
      </c>
      <c r="B329" s="143" t="s">
        <v>234</v>
      </c>
      <c r="C329" s="45"/>
      <c r="D329" s="172" t="s">
        <v>38</v>
      </c>
      <c r="E329" s="145" t="s">
        <v>167</v>
      </c>
      <c r="F329" s="146"/>
      <c r="G329" s="146"/>
      <c r="I329" s="145" t="s">
        <v>167</v>
      </c>
      <c r="J329" s="146"/>
      <c r="K329" s="146"/>
      <c r="M329" s="145" t="s">
        <v>167</v>
      </c>
      <c r="N329" s="146"/>
      <c r="O329" s="146"/>
      <c r="Q329" s="145" t="s">
        <v>167</v>
      </c>
      <c r="R329" s="146"/>
      <c r="S329" s="146"/>
      <c r="U329" s="145" t="s">
        <v>167</v>
      </c>
      <c r="V329" s="146"/>
      <c r="W329" s="146"/>
      <c r="Y329" s="145" t="s">
        <v>167</v>
      </c>
      <c r="Z329" s="146"/>
      <c r="AA329" s="146"/>
      <c r="AC329" s="145" t="s">
        <v>167</v>
      </c>
      <c r="AD329" s="146"/>
      <c r="AE329" s="146"/>
      <c r="AG329" s="145" t="s">
        <v>167</v>
      </c>
      <c r="AH329" s="146"/>
      <c r="AI329" s="146"/>
      <c r="AK329" s="145" t="s">
        <v>167</v>
      </c>
      <c r="AL329" s="146"/>
      <c r="AM329" s="146"/>
      <c r="AO329" s="145" t="s">
        <v>167</v>
      </c>
      <c r="AP329" s="146"/>
      <c r="AQ329" s="146"/>
      <c r="AS329" s="145" t="s">
        <v>167</v>
      </c>
      <c r="AT329" s="146"/>
      <c r="AU329" s="146"/>
      <c r="AW329" s="145" t="s">
        <v>167</v>
      </c>
      <c r="AX329" s="146"/>
      <c r="AY329" s="146"/>
      <c r="BA329" s="145" t="s">
        <v>167</v>
      </c>
      <c r="BB329" s="146"/>
      <c r="BC329" s="146"/>
      <c r="BE329" s="145" t="s">
        <v>167</v>
      </c>
      <c r="BF329" s="146"/>
      <c r="BG329" s="146"/>
      <c r="BI329" s="145" t="s">
        <v>167</v>
      </c>
      <c r="BJ329" s="146"/>
      <c r="BK329" s="146"/>
      <c r="BM329" s="145" t="s">
        <v>167</v>
      </c>
      <c r="BN329" s="146"/>
      <c r="BO329" s="146"/>
      <c r="BQ329" s="145" t="s">
        <v>167</v>
      </c>
      <c r="BR329" s="146"/>
      <c r="BS329" s="146"/>
      <c r="BU329" s="145" t="s">
        <v>167</v>
      </c>
      <c r="BV329" s="146"/>
      <c r="BW329" s="146"/>
      <c r="BY329" s="145" t="s">
        <v>167</v>
      </c>
      <c r="BZ329" s="146"/>
      <c r="CA329" s="146"/>
      <c r="CC329" s="145" t="s">
        <v>167</v>
      </c>
      <c r="CD329" s="146"/>
      <c r="CE329" s="146"/>
      <c r="CG329" s="145" t="s">
        <v>167</v>
      </c>
      <c r="CH329" s="146"/>
      <c r="CI329" s="146"/>
    </row>
    <row r="330">
      <c r="A330" s="147"/>
      <c r="B330" s="138"/>
      <c r="C330" s="52"/>
      <c r="D330" s="138"/>
      <c r="E330" s="139"/>
      <c r="F330" s="139"/>
      <c r="G330" s="139"/>
      <c r="I330" s="139"/>
      <c r="J330" s="139"/>
      <c r="K330" s="139"/>
      <c r="M330" s="139"/>
      <c r="N330" s="139"/>
      <c r="O330" s="139"/>
      <c r="Q330" s="139"/>
      <c r="R330" s="139"/>
      <c r="S330" s="139"/>
      <c r="U330" s="139"/>
      <c r="V330" s="139"/>
      <c r="W330" s="139"/>
      <c r="Y330" s="139"/>
      <c r="Z330" s="139"/>
      <c r="AA330" s="139"/>
      <c r="AC330" s="139"/>
      <c r="AD330" s="139"/>
      <c r="AE330" s="139"/>
      <c r="AG330" s="139"/>
      <c r="AH330" s="139"/>
      <c r="AI330" s="139"/>
      <c r="AK330" s="139"/>
      <c r="AL330" s="139"/>
      <c r="AM330" s="139"/>
      <c r="AO330" s="139"/>
      <c r="AP330" s="139"/>
      <c r="AQ330" s="139"/>
      <c r="AS330" s="139"/>
      <c r="AT330" s="139"/>
      <c r="AU330" s="139"/>
      <c r="AW330" s="139"/>
      <c r="AX330" s="139"/>
      <c r="AY330" s="139"/>
      <c r="BA330" s="139"/>
      <c r="BB330" s="139"/>
      <c r="BC330" s="139"/>
      <c r="BE330" s="139"/>
      <c r="BF330" s="139"/>
      <c r="BG330" s="139"/>
      <c r="BI330" s="139"/>
      <c r="BJ330" s="139"/>
      <c r="BK330" s="139"/>
      <c r="BM330" s="139"/>
      <c r="BN330" s="139"/>
      <c r="BO330" s="139"/>
      <c r="BQ330" s="139"/>
      <c r="BR330" s="139"/>
      <c r="BS330" s="139"/>
      <c r="BU330" s="139"/>
      <c r="BV330" s="139"/>
      <c r="BW330" s="139"/>
      <c r="BY330" s="139"/>
      <c r="BZ330" s="139"/>
      <c r="CA330" s="139"/>
      <c r="CC330" s="139"/>
      <c r="CD330" s="139"/>
      <c r="CE330" s="139"/>
      <c r="CG330" s="139"/>
      <c r="CH330" s="139"/>
      <c r="CI330" s="139"/>
    </row>
    <row r="331">
      <c r="A331" s="147"/>
      <c r="B331" s="138"/>
      <c r="C331" s="52"/>
      <c r="D331" s="138"/>
      <c r="E331" s="148"/>
      <c r="F331" s="149"/>
      <c r="G331" s="45"/>
      <c r="I331" s="148"/>
      <c r="J331" s="149"/>
      <c r="K331" s="45"/>
      <c r="M331" s="148"/>
      <c r="N331" s="149"/>
      <c r="O331" s="45"/>
      <c r="Q331" s="148"/>
      <c r="R331" s="149"/>
      <c r="S331" s="45"/>
      <c r="U331" s="148"/>
      <c r="V331" s="149"/>
      <c r="W331" s="45"/>
      <c r="Y331" s="148"/>
      <c r="Z331" s="149"/>
      <c r="AA331" s="45"/>
      <c r="AC331" s="148"/>
      <c r="AD331" s="149"/>
      <c r="AE331" s="45"/>
      <c r="AG331" s="148"/>
      <c r="AH331" s="149"/>
      <c r="AI331" s="45"/>
      <c r="AK331" s="148"/>
      <c r="AL331" s="149"/>
      <c r="AM331" s="45"/>
      <c r="AO331" s="148"/>
      <c r="AP331" s="149"/>
      <c r="AQ331" s="45"/>
      <c r="AS331" s="148"/>
      <c r="AT331" s="149"/>
      <c r="AU331" s="45"/>
      <c r="AW331" s="148"/>
      <c r="AX331" s="149"/>
      <c r="AY331" s="45"/>
      <c r="BA331" s="148"/>
      <c r="BB331" s="149"/>
      <c r="BC331" s="45"/>
      <c r="BE331" s="148"/>
      <c r="BF331" s="149"/>
      <c r="BG331" s="45"/>
      <c r="BI331" s="148"/>
      <c r="BJ331" s="149"/>
      <c r="BK331" s="45"/>
      <c r="BM331" s="148"/>
      <c r="BN331" s="149"/>
      <c r="BO331" s="45"/>
      <c r="BQ331" s="148"/>
      <c r="BR331" s="149"/>
      <c r="BS331" s="45"/>
      <c r="BU331" s="148"/>
      <c r="BV331" s="149"/>
      <c r="BW331" s="45"/>
      <c r="BY331" s="148"/>
      <c r="BZ331" s="149"/>
      <c r="CA331" s="45"/>
      <c r="CC331" s="148"/>
      <c r="CD331" s="149"/>
      <c r="CE331" s="45"/>
      <c r="CG331" s="148"/>
      <c r="CH331" s="149"/>
      <c r="CI331" s="45"/>
    </row>
    <row r="332">
      <c r="A332" s="147"/>
      <c r="B332" s="140"/>
      <c r="C332" s="57"/>
      <c r="D332" s="140"/>
      <c r="E332" s="138"/>
      <c r="G332" s="52"/>
      <c r="I332" s="138"/>
      <c r="K332" s="52"/>
      <c r="M332" s="138"/>
      <c r="O332" s="52"/>
      <c r="Q332" s="138"/>
      <c r="S332" s="52"/>
      <c r="U332" s="138"/>
      <c r="W332" s="52"/>
      <c r="Y332" s="138"/>
      <c r="AA332" s="52"/>
      <c r="AC332" s="138"/>
      <c r="AE332" s="52"/>
      <c r="AG332" s="138"/>
      <c r="AI332" s="52"/>
      <c r="AK332" s="138"/>
      <c r="AM332" s="52"/>
      <c r="AO332" s="138"/>
      <c r="AQ332" s="52"/>
      <c r="AS332" s="138"/>
      <c r="AU332" s="52"/>
      <c r="AW332" s="138"/>
      <c r="AY332" s="52"/>
      <c r="BA332" s="138"/>
      <c r="BC332" s="52"/>
      <c r="BE332" s="138"/>
      <c r="BG332" s="52"/>
      <c r="BI332" s="138"/>
      <c r="BK332" s="52"/>
      <c r="BM332" s="138"/>
      <c r="BO332" s="52"/>
      <c r="BQ332" s="138"/>
      <c r="BS332" s="52"/>
      <c r="BU332" s="138"/>
      <c r="BW332" s="52"/>
      <c r="BY332" s="138"/>
      <c r="CA332" s="52"/>
      <c r="CC332" s="138"/>
      <c r="CE332" s="52"/>
      <c r="CG332" s="138"/>
      <c r="CI332" s="52"/>
    </row>
    <row r="333">
      <c r="A333" s="147"/>
      <c r="B333" s="173" t="s">
        <v>168</v>
      </c>
      <c r="C333" s="174" t="s">
        <v>165</v>
      </c>
      <c r="D333" s="175" t="s">
        <v>164</v>
      </c>
      <c r="E333" s="140"/>
      <c r="F333" s="56"/>
      <c r="G333" s="57"/>
      <c r="I333" s="140"/>
      <c r="J333" s="56"/>
      <c r="K333" s="57"/>
      <c r="M333" s="140"/>
      <c r="N333" s="56"/>
      <c r="O333" s="57"/>
      <c r="Q333" s="140"/>
      <c r="R333" s="56"/>
      <c r="S333" s="57"/>
      <c r="U333" s="140"/>
      <c r="V333" s="56"/>
      <c r="W333" s="57"/>
      <c r="Y333" s="140"/>
      <c r="Z333" s="56"/>
      <c r="AA333" s="57"/>
      <c r="AC333" s="140"/>
      <c r="AD333" s="56"/>
      <c r="AE333" s="57"/>
      <c r="AG333" s="140"/>
      <c r="AH333" s="56"/>
      <c r="AI333" s="57"/>
      <c r="AK333" s="140"/>
      <c r="AL333" s="56"/>
      <c r="AM333" s="57"/>
      <c r="AO333" s="140"/>
      <c r="AP333" s="56"/>
      <c r="AQ333" s="57"/>
      <c r="AS333" s="140"/>
      <c r="AT333" s="56"/>
      <c r="AU333" s="57"/>
      <c r="AW333" s="140"/>
      <c r="AX333" s="56"/>
      <c r="AY333" s="57"/>
      <c r="BA333" s="140"/>
      <c r="BB333" s="56"/>
      <c r="BC333" s="57"/>
      <c r="BE333" s="140"/>
      <c r="BF333" s="56"/>
      <c r="BG333" s="57"/>
      <c r="BI333" s="140"/>
      <c r="BJ333" s="56"/>
      <c r="BK333" s="57"/>
      <c r="BM333" s="140"/>
      <c r="BN333" s="56"/>
      <c r="BO333" s="57"/>
      <c r="BQ333" s="140"/>
      <c r="BR333" s="56"/>
      <c r="BS333" s="57"/>
      <c r="BU333" s="140"/>
      <c r="BV333" s="56"/>
      <c r="BW333" s="57"/>
      <c r="BY333" s="140"/>
      <c r="BZ333" s="56"/>
      <c r="CA333" s="57"/>
      <c r="CC333" s="140"/>
      <c r="CD333" s="56"/>
      <c r="CE333" s="57"/>
      <c r="CG333" s="140"/>
      <c r="CH333" s="56"/>
      <c r="CI333" s="57"/>
    </row>
    <row r="334">
      <c r="A334" s="139"/>
      <c r="B334" s="161">
        <v>3.0</v>
      </c>
      <c r="C334" s="164" t="s">
        <v>169</v>
      </c>
      <c r="D334" s="155" t="s">
        <v>176</v>
      </c>
      <c r="E334" s="156" t="s">
        <v>171</v>
      </c>
      <c r="F334" s="38"/>
      <c r="G334" s="157"/>
      <c r="I334" s="156" t="s">
        <v>171</v>
      </c>
      <c r="J334" s="38"/>
      <c r="K334" s="157"/>
      <c r="M334" s="156" t="s">
        <v>171</v>
      </c>
      <c r="N334" s="38"/>
      <c r="O334" s="157"/>
      <c r="Q334" s="156" t="s">
        <v>171</v>
      </c>
      <c r="R334" s="38"/>
      <c r="S334" s="157"/>
      <c r="U334" s="156" t="s">
        <v>171</v>
      </c>
      <c r="V334" s="38"/>
      <c r="W334" s="157"/>
      <c r="Y334" s="156" t="s">
        <v>171</v>
      </c>
      <c r="Z334" s="38"/>
      <c r="AA334" s="157"/>
      <c r="AC334" s="156" t="s">
        <v>171</v>
      </c>
      <c r="AD334" s="38"/>
      <c r="AE334" s="157"/>
      <c r="AG334" s="156" t="s">
        <v>171</v>
      </c>
      <c r="AH334" s="38"/>
      <c r="AI334" s="157"/>
      <c r="AK334" s="156" t="s">
        <v>171</v>
      </c>
      <c r="AL334" s="38"/>
      <c r="AM334" s="157"/>
      <c r="AO334" s="156" t="s">
        <v>171</v>
      </c>
      <c r="AP334" s="38"/>
      <c r="AQ334" s="157"/>
      <c r="AS334" s="156" t="s">
        <v>171</v>
      </c>
      <c r="AT334" s="38"/>
      <c r="AU334" s="157"/>
      <c r="AW334" s="156" t="s">
        <v>171</v>
      </c>
      <c r="AX334" s="38"/>
      <c r="AY334" s="157"/>
      <c r="BA334" s="156" t="s">
        <v>171</v>
      </c>
      <c r="BB334" s="38"/>
      <c r="BC334" s="157"/>
      <c r="BE334" s="156" t="s">
        <v>171</v>
      </c>
      <c r="BF334" s="38"/>
      <c r="BG334" s="157"/>
      <c r="BI334" s="156" t="s">
        <v>171</v>
      </c>
      <c r="BJ334" s="38"/>
      <c r="BK334" s="157"/>
      <c r="BM334" s="156" t="s">
        <v>171</v>
      </c>
      <c r="BN334" s="38"/>
      <c r="BO334" s="157"/>
      <c r="BQ334" s="156" t="s">
        <v>171</v>
      </c>
      <c r="BR334" s="38"/>
      <c r="BS334" s="157"/>
      <c r="BU334" s="156" t="s">
        <v>171</v>
      </c>
      <c r="BV334" s="38"/>
      <c r="BW334" s="157"/>
      <c r="BY334" s="156" t="s">
        <v>171</v>
      </c>
      <c r="BZ334" s="38"/>
      <c r="CA334" s="157"/>
      <c r="CC334" s="156" t="s">
        <v>171</v>
      </c>
      <c r="CD334" s="38"/>
      <c r="CE334" s="157"/>
      <c r="CG334" s="156" t="s">
        <v>171</v>
      </c>
      <c r="CH334" s="38"/>
      <c r="CI334" s="157"/>
    </row>
    <row r="335" ht="9.0" customHeight="1">
      <c r="A335" s="166"/>
      <c r="E335" s="137"/>
      <c r="I335" s="137"/>
      <c r="M335" s="137"/>
      <c r="Q335" s="137"/>
      <c r="U335" s="137"/>
      <c r="Y335" s="137"/>
      <c r="AC335" s="137"/>
      <c r="AG335" s="137"/>
      <c r="AK335" s="137"/>
      <c r="AO335" s="137"/>
      <c r="AS335" s="137"/>
      <c r="AW335" s="137"/>
      <c r="BA335" s="137"/>
      <c r="BE335" s="137"/>
      <c r="BI335" s="137"/>
      <c r="BM335" s="137"/>
      <c r="BQ335" s="137"/>
      <c r="BU335" s="137"/>
      <c r="BY335" s="137"/>
      <c r="CC335" s="137"/>
      <c r="CG335" s="137"/>
    </row>
    <row r="336">
      <c r="A336" s="142" t="b">
        <v>0</v>
      </c>
      <c r="B336" s="160" t="s">
        <v>235</v>
      </c>
      <c r="C336" s="45"/>
      <c r="D336" s="172" t="s">
        <v>38</v>
      </c>
      <c r="E336" s="145" t="s">
        <v>167</v>
      </c>
      <c r="F336" s="146"/>
      <c r="G336" s="146"/>
      <c r="I336" s="145" t="s">
        <v>167</v>
      </c>
      <c r="J336" s="146"/>
      <c r="K336" s="146"/>
      <c r="M336" s="145" t="s">
        <v>167</v>
      </c>
      <c r="N336" s="146"/>
      <c r="O336" s="146"/>
      <c r="Q336" s="145" t="s">
        <v>167</v>
      </c>
      <c r="R336" s="146"/>
      <c r="S336" s="146"/>
      <c r="U336" s="145" t="s">
        <v>167</v>
      </c>
      <c r="V336" s="146"/>
      <c r="W336" s="146"/>
      <c r="Y336" s="145" t="s">
        <v>167</v>
      </c>
      <c r="Z336" s="146"/>
      <c r="AA336" s="146"/>
      <c r="AC336" s="145" t="s">
        <v>167</v>
      </c>
      <c r="AD336" s="146"/>
      <c r="AE336" s="146"/>
      <c r="AG336" s="145" t="s">
        <v>167</v>
      </c>
      <c r="AH336" s="146"/>
      <c r="AI336" s="146"/>
      <c r="AK336" s="145" t="s">
        <v>167</v>
      </c>
      <c r="AL336" s="146"/>
      <c r="AM336" s="146"/>
      <c r="AO336" s="145" t="s">
        <v>167</v>
      </c>
      <c r="AP336" s="146"/>
      <c r="AQ336" s="146"/>
      <c r="AS336" s="145" t="s">
        <v>167</v>
      </c>
      <c r="AT336" s="146"/>
      <c r="AU336" s="146"/>
      <c r="AW336" s="145" t="s">
        <v>167</v>
      </c>
      <c r="AX336" s="146"/>
      <c r="AY336" s="146"/>
      <c r="BA336" s="145" t="s">
        <v>167</v>
      </c>
      <c r="BB336" s="146"/>
      <c r="BC336" s="146"/>
      <c r="BE336" s="145" t="s">
        <v>167</v>
      </c>
      <c r="BF336" s="146"/>
      <c r="BG336" s="146"/>
      <c r="BI336" s="145" t="s">
        <v>167</v>
      </c>
      <c r="BJ336" s="146"/>
      <c r="BK336" s="146"/>
      <c r="BM336" s="145" t="s">
        <v>167</v>
      </c>
      <c r="BN336" s="146"/>
      <c r="BO336" s="146"/>
      <c r="BQ336" s="145" t="s">
        <v>167</v>
      </c>
      <c r="BR336" s="146"/>
      <c r="BS336" s="146"/>
      <c r="BU336" s="145" t="s">
        <v>167</v>
      </c>
      <c r="BV336" s="146"/>
      <c r="BW336" s="146"/>
      <c r="BY336" s="145" t="s">
        <v>167</v>
      </c>
      <c r="BZ336" s="146"/>
      <c r="CA336" s="146"/>
      <c r="CC336" s="145" t="s">
        <v>167</v>
      </c>
      <c r="CD336" s="146"/>
      <c r="CE336" s="146"/>
      <c r="CG336" s="145" t="s">
        <v>167</v>
      </c>
      <c r="CH336" s="146"/>
      <c r="CI336" s="146"/>
    </row>
    <row r="337">
      <c r="A337" s="147"/>
      <c r="B337" s="138"/>
      <c r="C337" s="52"/>
      <c r="D337" s="138"/>
      <c r="E337" s="139"/>
      <c r="F337" s="139"/>
      <c r="G337" s="139"/>
      <c r="I337" s="139"/>
      <c r="J337" s="139"/>
      <c r="K337" s="139"/>
      <c r="M337" s="139"/>
      <c r="N337" s="139"/>
      <c r="O337" s="139"/>
      <c r="Q337" s="139"/>
      <c r="R337" s="139"/>
      <c r="S337" s="139"/>
      <c r="U337" s="139"/>
      <c r="V337" s="139"/>
      <c r="W337" s="139"/>
      <c r="Y337" s="139"/>
      <c r="Z337" s="139"/>
      <c r="AA337" s="139"/>
      <c r="AC337" s="139"/>
      <c r="AD337" s="139"/>
      <c r="AE337" s="139"/>
      <c r="AG337" s="139"/>
      <c r="AH337" s="139"/>
      <c r="AI337" s="139"/>
      <c r="AK337" s="139"/>
      <c r="AL337" s="139"/>
      <c r="AM337" s="139"/>
      <c r="AO337" s="139"/>
      <c r="AP337" s="139"/>
      <c r="AQ337" s="139"/>
      <c r="AS337" s="139"/>
      <c r="AT337" s="139"/>
      <c r="AU337" s="139"/>
      <c r="AW337" s="139"/>
      <c r="AX337" s="139"/>
      <c r="AY337" s="139"/>
      <c r="BA337" s="139"/>
      <c r="BB337" s="139"/>
      <c r="BC337" s="139"/>
      <c r="BE337" s="139"/>
      <c r="BF337" s="139"/>
      <c r="BG337" s="139"/>
      <c r="BI337" s="139"/>
      <c r="BJ337" s="139"/>
      <c r="BK337" s="139"/>
      <c r="BM337" s="139"/>
      <c r="BN337" s="139"/>
      <c r="BO337" s="139"/>
      <c r="BQ337" s="139"/>
      <c r="BR337" s="139"/>
      <c r="BS337" s="139"/>
      <c r="BU337" s="139"/>
      <c r="BV337" s="139"/>
      <c r="BW337" s="139"/>
      <c r="BY337" s="139"/>
      <c r="BZ337" s="139"/>
      <c r="CA337" s="139"/>
      <c r="CC337" s="139"/>
      <c r="CD337" s="139"/>
      <c r="CE337" s="139"/>
      <c r="CG337" s="139"/>
      <c r="CH337" s="139"/>
      <c r="CI337" s="139"/>
    </row>
    <row r="338">
      <c r="A338" s="147"/>
      <c r="B338" s="138"/>
      <c r="C338" s="52"/>
      <c r="D338" s="138"/>
      <c r="E338" s="148"/>
      <c r="F338" s="149"/>
      <c r="G338" s="45"/>
      <c r="I338" s="148"/>
      <c r="J338" s="149"/>
      <c r="K338" s="45"/>
      <c r="M338" s="148"/>
      <c r="N338" s="149"/>
      <c r="O338" s="45"/>
      <c r="Q338" s="148"/>
      <c r="R338" s="149"/>
      <c r="S338" s="45"/>
      <c r="U338" s="148"/>
      <c r="V338" s="149"/>
      <c r="W338" s="45"/>
      <c r="Y338" s="148"/>
      <c r="Z338" s="149"/>
      <c r="AA338" s="45"/>
      <c r="AC338" s="148"/>
      <c r="AD338" s="149"/>
      <c r="AE338" s="45"/>
      <c r="AG338" s="148"/>
      <c r="AH338" s="149"/>
      <c r="AI338" s="45"/>
      <c r="AK338" s="148"/>
      <c r="AL338" s="149"/>
      <c r="AM338" s="45"/>
      <c r="AO338" s="148"/>
      <c r="AP338" s="149"/>
      <c r="AQ338" s="45"/>
      <c r="AS338" s="148"/>
      <c r="AT338" s="149"/>
      <c r="AU338" s="45"/>
      <c r="AW338" s="148"/>
      <c r="AX338" s="149"/>
      <c r="AY338" s="45"/>
      <c r="BA338" s="148"/>
      <c r="BB338" s="149"/>
      <c r="BC338" s="45"/>
      <c r="BE338" s="148"/>
      <c r="BF338" s="149"/>
      <c r="BG338" s="45"/>
      <c r="BI338" s="148"/>
      <c r="BJ338" s="149"/>
      <c r="BK338" s="45"/>
      <c r="BM338" s="148"/>
      <c r="BN338" s="149"/>
      <c r="BO338" s="45"/>
      <c r="BQ338" s="148"/>
      <c r="BR338" s="149"/>
      <c r="BS338" s="45"/>
      <c r="BU338" s="148"/>
      <c r="BV338" s="149"/>
      <c r="BW338" s="45"/>
      <c r="BY338" s="148"/>
      <c r="BZ338" s="149"/>
      <c r="CA338" s="45"/>
      <c r="CC338" s="148"/>
      <c r="CD338" s="149"/>
      <c r="CE338" s="45"/>
      <c r="CG338" s="148"/>
      <c r="CH338" s="149"/>
      <c r="CI338" s="45"/>
    </row>
    <row r="339">
      <c r="A339" s="147"/>
      <c r="B339" s="140"/>
      <c r="C339" s="57"/>
      <c r="D339" s="140"/>
      <c r="E339" s="138"/>
      <c r="G339" s="52"/>
      <c r="I339" s="138"/>
      <c r="K339" s="52"/>
      <c r="M339" s="138"/>
      <c r="O339" s="52"/>
      <c r="Q339" s="138"/>
      <c r="S339" s="52"/>
      <c r="U339" s="138"/>
      <c r="W339" s="52"/>
      <c r="Y339" s="138"/>
      <c r="AA339" s="52"/>
      <c r="AC339" s="138"/>
      <c r="AE339" s="52"/>
      <c r="AG339" s="138"/>
      <c r="AI339" s="52"/>
      <c r="AK339" s="138"/>
      <c r="AM339" s="52"/>
      <c r="AO339" s="138"/>
      <c r="AQ339" s="52"/>
      <c r="AS339" s="138"/>
      <c r="AU339" s="52"/>
      <c r="AW339" s="138"/>
      <c r="AY339" s="52"/>
      <c r="BA339" s="138"/>
      <c r="BC339" s="52"/>
      <c r="BE339" s="138"/>
      <c r="BG339" s="52"/>
      <c r="BI339" s="138"/>
      <c r="BK339" s="52"/>
      <c r="BM339" s="138"/>
      <c r="BO339" s="52"/>
      <c r="BQ339" s="138"/>
      <c r="BS339" s="52"/>
      <c r="BU339" s="138"/>
      <c r="BW339" s="52"/>
      <c r="BY339" s="138"/>
      <c r="CA339" s="52"/>
      <c r="CC339" s="138"/>
      <c r="CE339" s="52"/>
      <c r="CG339" s="138"/>
      <c r="CI339" s="52"/>
    </row>
    <row r="340">
      <c r="A340" s="147"/>
      <c r="B340" s="173" t="s">
        <v>168</v>
      </c>
      <c r="C340" s="174" t="s">
        <v>165</v>
      </c>
      <c r="D340" s="175" t="s">
        <v>164</v>
      </c>
      <c r="E340" s="140"/>
      <c r="F340" s="56"/>
      <c r="G340" s="57"/>
      <c r="I340" s="140"/>
      <c r="J340" s="56"/>
      <c r="K340" s="57"/>
      <c r="M340" s="140"/>
      <c r="N340" s="56"/>
      <c r="O340" s="57"/>
      <c r="Q340" s="140"/>
      <c r="R340" s="56"/>
      <c r="S340" s="57"/>
      <c r="U340" s="140"/>
      <c r="V340" s="56"/>
      <c r="W340" s="57"/>
      <c r="Y340" s="140"/>
      <c r="Z340" s="56"/>
      <c r="AA340" s="57"/>
      <c r="AC340" s="140"/>
      <c r="AD340" s="56"/>
      <c r="AE340" s="57"/>
      <c r="AG340" s="140"/>
      <c r="AH340" s="56"/>
      <c r="AI340" s="57"/>
      <c r="AK340" s="140"/>
      <c r="AL340" s="56"/>
      <c r="AM340" s="57"/>
      <c r="AO340" s="140"/>
      <c r="AP340" s="56"/>
      <c r="AQ340" s="57"/>
      <c r="AS340" s="140"/>
      <c r="AT340" s="56"/>
      <c r="AU340" s="57"/>
      <c r="AW340" s="140"/>
      <c r="AX340" s="56"/>
      <c r="AY340" s="57"/>
      <c r="BA340" s="140"/>
      <c r="BB340" s="56"/>
      <c r="BC340" s="57"/>
      <c r="BE340" s="140"/>
      <c r="BF340" s="56"/>
      <c r="BG340" s="57"/>
      <c r="BI340" s="140"/>
      <c r="BJ340" s="56"/>
      <c r="BK340" s="57"/>
      <c r="BM340" s="140"/>
      <c r="BN340" s="56"/>
      <c r="BO340" s="57"/>
      <c r="BQ340" s="140"/>
      <c r="BR340" s="56"/>
      <c r="BS340" s="57"/>
      <c r="BU340" s="140"/>
      <c r="BV340" s="56"/>
      <c r="BW340" s="57"/>
      <c r="BY340" s="140"/>
      <c r="BZ340" s="56"/>
      <c r="CA340" s="57"/>
      <c r="CC340" s="140"/>
      <c r="CD340" s="56"/>
      <c r="CE340" s="57"/>
      <c r="CG340" s="140"/>
      <c r="CH340" s="56"/>
      <c r="CI340" s="57"/>
    </row>
    <row r="341">
      <c r="A341" s="139"/>
      <c r="B341" s="153">
        <v>3.0</v>
      </c>
      <c r="C341" s="176">
        <v>46007.0</v>
      </c>
      <c r="D341" s="155" t="s">
        <v>174</v>
      </c>
      <c r="E341" s="156" t="s">
        <v>171</v>
      </c>
      <c r="F341" s="38"/>
      <c r="G341" s="157"/>
      <c r="I341" s="156" t="s">
        <v>171</v>
      </c>
      <c r="J341" s="38"/>
      <c r="K341" s="157"/>
      <c r="M341" s="156" t="s">
        <v>171</v>
      </c>
      <c r="N341" s="38"/>
      <c r="O341" s="157"/>
      <c r="Q341" s="156" t="s">
        <v>171</v>
      </c>
      <c r="R341" s="38"/>
      <c r="S341" s="157"/>
      <c r="U341" s="156" t="s">
        <v>171</v>
      </c>
      <c r="V341" s="38"/>
      <c r="W341" s="157"/>
      <c r="Y341" s="156" t="s">
        <v>171</v>
      </c>
      <c r="Z341" s="38"/>
      <c r="AA341" s="157"/>
      <c r="AC341" s="156" t="s">
        <v>171</v>
      </c>
      <c r="AD341" s="38"/>
      <c r="AE341" s="157"/>
      <c r="AG341" s="156" t="s">
        <v>171</v>
      </c>
      <c r="AH341" s="38"/>
      <c r="AI341" s="157"/>
      <c r="AK341" s="156" t="s">
        <v>171</v>
      </c>
      <c r="AL341" s="38"/>
      <c r="AM341" s="157"/>
      <c r="AO341" s="156" t="s">
        <v>171</v>
      </c>
      <c r="AP341" s="38"/>
      <c r="AQ341" s="157"/>
      <c r="AS341" s="156" t="s">
        <v>171</v>
      </c>
      <c r="AT341" s="38"/>
      <c r="AU341" s="157"/>
      <c r="AW341" s="156" t="s">
        <v>171</v>
      </c>
      <c r="AX341" s="38"/>
      <c r="AY341" s="157"/>
      <c r="BA341" s="156" t="s">
        <v>171</v>
      </c>
      <c r="BB341" s="38"/>
      <c r="BC341" s="157"/>
      <c r="BE341" s="156" t="s">
        <v>171</v>
      </c>
      <c r="BF341" s="38"/>
      <c r="BG341" s="157"/>
      <c r="BI341" s="156" t="s">
        <v>171</v>
      </c>
      <c r="BJ341" s="38"/>
      <c r="BK341" s="157"/>
      <c r="BM341" s="156" t="s">
        <v>171</v>
      </c>
      <c r="BN341" s="38"/>
      <c r="BO341" s="157"/>
      <c r="BQ341" s="156" t="s">
        <v>171</v>
      </c>
      <c r="BR341" s="38"/>
      <c r="BS341" s="157"/>
      <c r="BU341" s="156" t="s">
        <v>171</v>
      </c>
      <c r="BV341" s="38"/>
      <c r="BW341" s="157"/>
      <c r="BY341" s="156" t="s">
        <v>171</v>
      </c>
      <c r="BZ341" s="38"/>
      <c r="CA341" s="157"/>
      <c r="CC341" s="156" t="s">
        <v>171</v>
      </c>
      <c r="CD341" s="38"/>
      <c r="CE341" s="157"/>
      <c r="CG341" s="156" t="s">
        <v>171</v>
      </c>
      <c r="CH341" s="38"/>
      <c r="CI341" s="157"/>
    </row>
    <row r="342" ht="9.75" customHeight="1">
      <c r="A342" s="166"/>
      <c r="E342" s="137"/>
      <c r="I342" s="137"/>
      <c r="M342" s="137"/>
      <c r="Q342" s="137"/>
      <c r="U342" s="137"/>
      <c r="Y342" s="137"/>
      <c r="AC342" s="137"/>
      <c r="AG342" s="137"/>
      <c r="AK342" s="137"/>
      <c r="AO342" s="137"/>
      <c r="AS342" s="137"/>
      <c r="AW342" s="137"/>
      <c r="BA342" s="137"/>
      <c r="BE342" s="137"/>
      <c r="BI342" s="137"/>
      <c r="BM342" s="137"/>
      <c r="BQ342" s="137"/>
      <c r="BU342" s="137"/>
      <c r="BY342" s="137"/>
      <c r="CC342" s="137"/>
      <c r="CG342" s="137"/>
    </row>
    <row r="343">
      <c r="A343" s="142" t="b">
        <v>0</v>
      </c>
      <c r="B343" s="160" t="s">
        <v>236</v>
      </c>
      <c r="C343" s="45"/>
      <c r="D343" s="172" t="s">
        <v>38</v>
      </c>
      <c r="E343" s="145" t="s">
        <v>167</v>
      </c>
      <c r="F343" s="146"/>
      <c r="G343" s="146"/>
      <c r="I343" s="145" t="s">
        <v>167</v>
      </c>
      <c r="J343" s="146"/>
      <c r="K343" s="146"/>
      <c r="M343" s="145" t="s">
        <v>167</v>
      </c>
      <c r="N343" s="146"/>
      <c r="O343" s="146"/>
      <c r="Q343" s="145" t="s">
        <v>167</v>
      </c>
      <c r="R343" s="146"/>
      <c r="S343" s="146"/>
      <c r="U343" s="145" t="s">
        <v>167</v>
      </c>
      <c r="V343" s="146"/>
      <c r="W343" s="146"/>
      <c r="Y343" s="145" t="s">
        <v>167</v>
      </c>
      <c r="Z343" s="146"/>
      <c r="AA343" s="146"/>
      <c r="AC343" s="145" t="s">
        <v>167</v>
      </c>
      <c r="AD343" s="146"/>
      <c r="AE343" s="146"/>
      <c r="AG343" s="145" t="s">
        <v>167</v>
      </c>
      <c r="AH343" s="146"/>
      <c r="AI343" s="146"/>
      <c r="AK343" s="145" t="s">
        <v>167</v>
      </c>
      <c r="AL343" s="146"/>
      <c r="AM343" s="146"/>
      <c r="AO343" s="145" t="s">
        <v>167</v>
      </c>
      <c r="AP343" s="146"/>
      <c r="AQ343" s="146"/>
      <c r="AS343" s="145" t="s">
        <v>167</v>
      </c>
      <c r="AT343" s="146"/>
      <c r="AU343" s="146"/>
      <c r="AW343" s="145" t="s">
        <v>167</v>
      </c>
      <c r="AX343" s="146"/>
      <c r="AY343" s="146"/>
      <c r="BA343" s="145" t="s">
        <v>167</v>
      </c>
      <c r="BB343" s="146"/>
      <c r="BC343" s="146"/>
      <c r="BE343" s="145" t="s">
        <v>167</v>
      </c>
      <c r="BF343" s="146"/>
      <c r="BG343" s="146"/>
      <c r="BI343" s="145" t="s">
        <v>167</v>
      </c>
      <c r="BJ343" s="146"/>
      <c r="BK343" s="146"/>
      <c r="BM343" s="145" t="s">
        <v>167</v>
      </c>
      <c r="BN343" s="146"/>
      <c r="BO343" s="146"/>
      <c r="BQ343" s="145" t="s">
        <v>167</v>
      </c>
      <c r="BR343" s="146"/>
      <c r="BS343" s="146"/>
      <c r="BU343" s="145" t="s">
        <v>167</v>
      </c>
      <c r="BV343" s="146"/>
      <c r="BW343" s="146"/>
      <c r="BY343" s="145" t="s">
        <v>167</v>
      </c>
      <c r="BZ343" s="146"/>
      <c r="CA343" s="146"/>
      <c r="CC343" s="145" t="s">
        <v>167</v>
      </c>
      <c r="CD343" s="146"/>
      <c r="CE343" s="146"/>
      <c r="CG343" s="145" t="s">
        <v>167</v>
      </c>
      <c r="CH343" s="146"/>
      <c r="CI343" s="146"/>
    </row>
    <row r="344">
      <c r="A344" s="147"/>
      <c r="B344" s="138"/>
      <c r="C344" s="52"/>
      <c r="D344" s="138"/>
      <c r="E344" s="139"/>
      <c r="F344" s="139"/>
      <c r="G344" s="139"/>
      <c r="I344" s="139"/>
      <c r="J344" s="139"/>
      <c r="K344" s="139"/>
      <c r="M344" s="139"/>
      <c r="N344" s="139"/>
      <c r="O344" s="139"/>
      <c r="Q344" s="139"/>
      <c r="R344" s="139"/>
      <c r="S344" s="139"/>
      <c r="U344" s="139"/>
      <c r="V344" s="139"/>
      <c r="W344" s="139"/>
      <c r="Y344" s="139"/>
      <c r="Z344" s="139"/>
      <c r="AA344" s="139"/>
      <c r="AC344" s="139"/>
      <c r="AD344" s="139"/>
      <c r="AE344" s="139"/>
      <c r="AG344" s="139"/>
      <c r="AH344" s="139"/>
      <c r="AI344" s="139"/>
      <c r="AK344" s="139"/>
      <c r="AL344" s="139"/>
      <c r="AM344" s="139"/>
      <c r="AO344" s="139"/>
      <c r="AP344" s="139"/>
      <c r="AQ344" s="139"/>
      <c r="AS344" s="139"/>
      <c r="AT344" s="139"/>
      <c r="AU344" s="139"/>
      <c r="AW344" s="139"/>
      <c r="AX344" s="139"/>
      <c r="AY344" s="139"/>
      <c r="BA344" s="139"/>
      <c r="BB344" s="139"/>
      <c r="BC344" s="139"/>
      <c r="BE344" s="139"/>
      <c r="BF344" s="139"/>
      <c r="BG344" s="139"/>
      <c r="BI344" s="139"/>
      <c r="BJ344" s="139"/>
      <c r="BK344" s="139"/>
      <c r="BM344" s="139"/>
      <c r="BN344" s="139"/>
      <c r="BO344" s="139"/>
      <c r="BQ344" s="139"/>
      <c r="BR344" s="139"/>
      <c r="BS344" s="139"/>
      <c r="BU344" s="139"/>
      <c r="BV344" s="139"/>
      <c r="BW344" s="139"/>
      <c r="BY344" s="139"/>
      <c r="BZ344" s="139"/>
      <c r="CA344" s="139"/>
      <c r="CC344" s="139"/>
      <c r="CD344" s="139"/>
      <c r="CE344" s="139"/>
      <c r="CG344" s="139"/>
      <c r="CH344" s="139"/>
      <c r="CI344" s="139"/>
    </row>
    <row r="345">
      <c r="A345" s="147"/>
      <c r="B345" s="138"/>
      <c r="C345" s="52"/>
      <c r="D345" s="138"/>
      <c r="E345" s="148"/>
      <c r="F345" s="149"/>
      <c r="G345" s="45"/>
      <c r="I345" s="148"/>
      <c r="J345" s="149"/>
      <c r="K345" s="45"/>
      <c r="M345" s="148"/>
      <c r="N345" s="149"/>
      <c r="O345" s="45"/>
      <c r="Q345" s="148"/>
      <c r="R345" s="149"/>
      <c r="S345" s="45"/>
      <c r="U345" s="148"/>
      <c r="V345" s="149"/>
      <c r="W345" s="45"/>
      <c r="Y345" s="148"/>
      <c r="Z345" s="149"/>
      <c r="AA345" s="45"/>
      <c r="AC345" s="148"/>
      <c r="AD345" s="149"/>
      <c r="AE345" s="45"/>
      <c r="AG345" s="148"/>
      <c r="AH345" s="149"/>
      <c r="AI345" s="45"/>
      <c r="AK345" s="148"/>
      <c r="AL345" s="149"/>
      <c r="AM345" s="45"/>
      <c r="AO345" s="148"/>
      <c r="AP345" s="149"/>
      <c r="AQ345" s="45"/>
      <c r="AS345" s="148"/>
      <c r="AT345" s="149"/>
      <c r="AU345" s="45"/>
      <c r="AW345" s="148"/>
      <c r="AX345" s="149"/>
      <c r="AY345" s="45"/>
      <c r="BA345" s="148"/>
      <c r="BB345" s="149"/>
      <c r="BC345" s="45"/>
      <c r="BE345" s="148"/>
      <c r="BF345" s="149"/>
      <c r="BG345" s="45"/>
      <c r="BI345" s="148"/>
      <c r="BJ345" s="149"/>
      <c r="BK345" s="45"/>
      <c r="BM345" s="148"/>
      <c r="BN345" s="149"/>
      <c r="BO345" s="45"/>
      <c r="BQ345" s="148"/>
      <c r="BR345" s="149"/>
      <c r="BS345" s="45"/>
      <c r="BU345" s="148"/>
      <c r="BV345" s="149"/>
      <c r="BW345" s="45"/>
      <c r="BY345" s="148"/>
      <c r="BZ345" s="149"/>
      <c r="CA345" s="45"/>
      <c r="CC345" s="148"/>
      <c r="CD345" s="149"/>
      <c r="CE345" s="45"/>
      <c r="CG345" s="148"/>
      <c r="CH345" s="149"/>
      <c r="CI345" s="45"/>
    </row>
    <row r="346">
      <c r="A346" s="147"/>
      <c r="B346" s="140"/>
      <c r="C346" s="57"/>
      <c r="D346" s="140"/>
      <c r="E346" s="138"/>
      <c r="G346" s="52"/>
      <c r="I346" s="138"/>
      <c r="K346" s="52"/>
      <c r="M346" s="138"/>
      <c r="O346" s="52"/>
      <c r="Q346" s="138"/>
      <c r="S346" s="52"/>
      <c r="U346" s="138"/>
      <c r="W346" s="52"/>
      <c r="Y346" s="138"/>
      <c r="AA346" s="52"/>
      <c r="AC346" s="138"/>
      <c r="AE346" s="52"/>
      <c r="AG346" s="138"/>
      <c r="AI346" s="52"/>
      <c r="AK346" s="138"/>
      <c r="AM346" s="52"/>
      <c r="AO346" s="138"/>
      <c r="AQ346" s="52"/>
      <c r="AS346" s="138"/>
      <c r="AU346" s="52"/>
      <c r="AW346" s="138"/>
      <c r="AY346" s="52"/>
      <c r="BA346" s="138"/>
      <c r="BC346" s="52"/>
      <c r="BE346" s="138"/>
      <c r="BG346" s="52"/>
      <c r="BI346" s="138"/>
      <c r="BK346" s="52"/>
      <c r="BM346" s="138"/>
      <c r="BO346" s="52"/>
      <c r="BQ346" s="138"/>
      <c r="BS346" s="52"/>
      <c r="BU346" s="138"/>
      <c r="BW346" s="52"/>
      <c r="BY346" s="138"/>
      <c r="CA346" s="52"/>
      <c r="CC346" s="138"/>
      <c r="CE346" s="52"/>
      <c r="CG346" s="138"/>
      <c r="CI346" s="52"/>
    </row>
    <row r="347">
      <c r="A347" s="147"/>
      <c r="B347" s="173" t="s">
        <v>168</v>
      </c>
      <c r="C347" s="174" t="s">
        <v>165</v>
      </c>
      <c r="D347" s="175" t="s">
        <v>164</v>
      </c>
      <c r="E347" s="140"/>
      <c r="F347" s="56"/>
      <c r="G347" s="57"/>
      <c r="I347" s="140"/>
      <c r="J347" s="56"/>
      <c r="K347" s="57"/>
      <c r="M347" s="140"/>
      <c r="N347" s="56"/>
      <c r="O347" s="57"/>
      <c r="Q347" s="140"/>
      <c r="R347" s="56"/>
      <c r="S347" s="57"/>
      <c r="U347" s="140"/>
      <c r="V347" s="56"/>
      <c r="W347" s="57"/>
      <c r="Y347" s="140"/>
      <c r="Z347" s="56"/>
      <c r="AA347" s="57"/>
      <c r="AC347" s="140"/>
      <c r="AD347" s="56"/>
      <c r="AE347" s="57"/>
      <c r="AG347" s="140"/>
      <c r="AH347" s="56"/>
      <c r="AI347" s="57"/>
      <c r="AK347" s="140"/>
      <c r="AL347" s="56"/>
      <c r="AM347" s="57"/>
      <c r="AO347" s="140"/>
      <c r="AP347" s="56"/>
      <c r="AQ347" s="57"/>
      <c r="AS347" s="140"/>
      <c r="AT347" s="56"/>
      <c r="AU347" s="57"/>
      <c r="AW347" s="140"/>
      <c r="AX347" s="56"/>
      <c r="AY347" s="57"/>
      <c r="BA347" s="140"/>
      <c r="BB347" s="56"/>
      <c r="BC347" s="57"/>
      <c r="BE347" s="140"/>
      <c r="BF347" s="56"/>
      <c r="BG347" s="57"/>
      <c r="BI347" s="140"/>
      <c r="BJ347" s="56"/>
      <c r="BK347" s="57"/>
      <c r="BM347" s="140"/>
      <c r="BN347" s="56"/>
      <c r="BO347" s="57"/>
      <c r="BQ347" s="140"/>
      <c r="BR347" s="56"/>
      <c r="BS347" s="57"/>
      <c r="BU347" s="140"/>
      <c r="BV347" s="56"/>
      <c r="BW347" s="57"/>
      <c r="BY347" s="140"/>
      <c r="BZ347" s="56"/>
      <c r="CA347" s="57"/>
      <c r="CC347" s="140"/>
      <c r="CD347" s="56"/>
      <c r="CE347" s="57"/>
      <c r="CG347" s="140"/>
      <c r="CH347" s="56"/>
      <c r="CI347" s="57"/>
    </row>
    <row r="348">
      <c r="A348" s="139"/>
      <c r="B348" s="153">
        <v>3.0</v>
      </c>
      <c r="C348" s="154" t="s">
        <v>169</v>
      </c>
      <c r="D348" s="155" t="s">
        <v>176</v>
      </c>
      <c r="E348" s="156" t="s">
        <v>171</v>
      </c>
      <c r="F348" s="38"/>
      <c r="G348" s="157"/>
      <c r="I348" s="156" t="s">
        <v>171</v>
      </c>
      <c r="J348" s="38"/>
      <c r="K348" s="157"/>
      <c r="M348" s="156" t="s">
        <v>171</v>
      </c>
      <c r="N348" s="38"/>
      <c r="O348" s="157"/>
      <c r="Q348" s="156" t="s">
        <v>171</v>
      </c>
      <c r="R348" s="38"/>
      <c r="S348" s="157"/>
      <c r="U348" s="156" t="s">
        <v>171</v>
      </c>
      <c r="V348" s="38"/>
      <c r="W348" s="157"/>
      <c r="Y348" s="156" t="s">
        <v>171</v>
      </c>
      <c r="Z348" s="38"/>
      <c r="AA348" s="157"/>
      <c r="AC348" s="156" t="s">
        <v>171</v>
      </c>
      <c r="AD348" s="38"/>
      <c r="AE348" s="157"/>
      <c r="AG348" s="156" t="s">
        <v>171</v>
      </c>
      <c r="AH348" s="38"/>
      <c r="AI348" s="157"/>
      <c r="AK348" s="156" t="s">
        <v>171</v>
      </c>
      <c r="AL348" s="38"/>
      <c r="AM348" s="157"/>
      <c r="AO348" s="156" t="s">
        <v>171</v>
      </c>
      <c r="AP348" s="38"/>
      <c r="AQ348" s="157"/>
      <c r="AS348" s="156" t="s">
        <v>171</v>
      </c>
      <c r="AT348" s="38"/>
      <c r="AU348" s="157"/>
      <c r="AW348" s="156" t="s">
        <v>171</v>
      </c>
      <c r="AX348" s="38"/>
      <c r="AY348" s="157"/>
      <c r="BA348" s="156" t="s">
        <v>171</v>
      </c>
      <c r="BB348" s="38"/>
      <c r="BC348" s="157"/>
      <c r="BE348" s="156" t="s">
        <v>171</v>
      </c>
      <c r="BF348" s="38"/>
      <c r="BG348" s="157"/>
      <c r="BI348" s="156" t="s">
        <v>171</v>
      </c>
      <c r="BJ348" s="38"/>
      <c r="BK348" s="157"/>
      <c r="BM348" s="156" t="s">
        <v>171</v>
      </c>
      <c r="BN348" s="38"/>
      <c r="BO348" s="157"/>
      <c r="BQ348" s="156" t="s">
        <v>171</v>
      </c>
      <c r="BR348" s="38"/>
      <c r="BS348" s="157"/>
      <c r="BU348" s="156" t="s">
        <v>171</v>
      </c>
      <c r="BV348" s="38"/>
      <c r="BW348" s="157"/>
      <c r="BY348" s="156" t="s">
        <v>171</v>
      </c>
      <c r="BZ348" s="38"/>
      <c r="CA348" s="157"/>
      <c r="CC348" s="156" t="s">
        <v>171</v>
      </c>
      <c r="CD348" s="38"/>
      <c r="CE348" s="157"/>
      <c r="CG348" s="156" t="s">
        <v>171</v>
      </c>
      <c r="CH348" s="38"/>
      <c r="CI348" s="157"/>
    </row>
    <row r="349" ht="7.5" customHeight="1">
      <c r="A349" s="166"/>
      <c r="E349" s="137"/>
      <c r="I349" s="137"/>
      <c r="M349" s="137"/>
      <c r="Q349" s="137"/>
      <c r="U349" s="137"/>
      <c r="Y349" s="137"/>
      <c r="AC349" s="137"/>
      <c r="AG349" s="137"/>
      <c r="AK349" s="137"/>
      <c r="AO349" s="137"/>
      <c r="AS349" s="137"/>
      <c r="AW349" s="137"/>
      <c r="BA349" s="137"/>
      <c r="BE349" s="137"/>
      <c r="BI349" s="137"/>
      <c r="BM349" s="137"/>
      <c r="BQ349" s="137"/>
      <c r="BU349" s="137"/>
      <c r="BY349" s="137"/>
      <c r="CC349" s="137"/>
      <c r="CG349" s="137"/>
    </row>
    <row r="350">
      <c r="A350" s="142" t="b">
        <v>0</v>
      </c>
      <c r="B350" s="165" t="s">
        <v>237</v>
      </c>
      <c r="C350" s="45"/>
      <c r="D350" s="172" t="s">
        <v>38</v>
      </c>
      <c r="E350" s="145" t="s">
        <v>167</v>
      </c>
      <c r="F350" s="146"/>
      <c r="G350" s="146"/>
      <c r="I350" s="145" t="s">
        <v>167</v>
      </c>
      <c r="J350" s="146"/>
      <c r="K350" s="146"/>
      <c r="M350" s="145" t="s">
        <v>167</v>
      </c>
      <c r="N350" s="146"/>
      <c r="O350" s="146"/>
      <c r="Q350" s="145" t="s">
        <v>167</v>
      </c>
      <c r="R350" s="146"/>
      <c r="S350" s="146"/>
      <c r="U350" s="145" t="s">
        <v>167</v>
      </c>
      <c r="V350" s="146"/>
      <c r="W350" s="146"/>
      <c r="Y350" s="145" t="s">
        <v>167</v>
      </c>
      <c r="Z350" s="146"/>
      <c r="AA350" s="146"/>
      <c r="AC350" s="145" t="s">
        <v>167</v>
      </c>
      <c r="AD350" s="146"/>
      <c r="AE350" s="146"/>
      <c r="AG350" s="145" t="s">
        <v>167</v>
      </c>
      <c r="AH350" s="146"/>
      <c r="AI350" s="146"/>
      <c r="AK350" s="145" t="s">
        <v>167</v>
      </c>
      <c r="AL350" s="146"/>
      <c r="AM350" s="146"/>
      <c r="AO350" s="145" t="s">
        <v>167</v>
      </c>
      <c r="AP350" s="146"/>
      <c r="AQ350" s="146"/>
      <c r="AS350" s="145" t="s">
        <v>167</v>
      </c>
      <c r="AT350" s="146"/>
      <c r="AU350" s="146"/>
      <c r="AW350" s="145" t="s">
        <v>167</v>
      </c>
      <c r="AX350" s="146"/>
      <c r="AY350" s="146"/>
      <c r="BA350" s="145" t="s">
        <v>167</v>
      </c>
      <c r="BB350" s="146"/>
      <c r="BC350" s="146"/>
      <c r="BE350" s="145" t="s">
        <v>167</v>
      </c>
      <c r="BF350" s="146"/>
      <c r="BG350" s="146"/>
      <c r="BI350" s="145" t="s">
        <v>167</v>
      </c>
      <c r="BJ350" s="146"/>
      <c r="BK350" s="146"/>
      <c r="BM350" s="145" t="s">
        <v>167</v>
      </c>
      <c r="BN350" s="146"/>
      <c r="BO350" s="146"/>
      <c r="BQ350" s="145" t="s">
        <v>167</v>
      </c>
      <c r="BR350" s="146"/>
      <c r="BS350" s="146"/>
      <c r="BU350" s="145" t="s">
        <v>167</v>
      </c>
      <c r="BV350" s="146"/>
      <c r="BW350" s="146"/>
      <c r="BY350" s="145" t="s">
        <v>167</v>
      </c>
      <c r="BZ350" s="146"/>
      <c r="CA350" s="146"/>
      <c r="CC350" s="145" t="s">
        <v>167</v>
      </c>
      <c r="CD350" s="146"/>
      <c r="CE350" s="146"/>
      <c r="CG350" s="145" t="s">
        <v>167</v>
      </c>
      <c r="CH350" s="146"/>
      <c r="CI350" s="146"/>
    </row>
    <row r="351">
      <c r="A351" s="147"/>
      <c r="B351" s="138"/>
      <c r="C351" s="52"/>
      <c r="D351" s="138"/>
      <c r="E351" s="139"/>
      <c r="F351" s="139"/>
      <c r="G351" s="139"/>
      <c r="I351" s="139"/>
      <c r="J351" s="139"/>
      <c r="K351" s="139"/>
      <c r="M351" s="139"/>
      <c r="N351" s="139"/>
      <c r="O351" s="139"/>
      <c r="Q351" s="139"/>
      <c r="R351" s="139"/>
      <c r="S351" s="139"/>
      <c r="U351" s="139"/>
      <c r="V351" s="139"/>
      <c r="W351" s="139"/>
      <c r="Y351" s="139"/>
      <c r="Z351" s="139"/>
      <c r="AA351" s="139"/>
      <c r="AC351" s="139"/>
      <c r="AD351" s="139"/>
      <c r="AE351" s="139"/>
      <c r="AG351" s="139"/>
      <c r="AH351" s="139"/>
      <c r="AI351" s="139"/>
      <c r="AK351" s="139"/>
      <c r="AL351" s="139"/>
      <c r="AM351" s="139"/>
      <c r="AO351" s="139"/>
      <c r="AP351" s="139"/>
      <c r="AQ351" s="139"/>
      <c r="AS351" s="139"/>
      <c r="AT351" s="139"/>
      <c r="AU351" s="139"/>
      <c r="AW351" s="139"/>
      <c r="AX351" s="139"/>
      <c r="AY351" s="139"/>
      <c r="BA351" s="139"/>
      <c r="BB351" s="139"/>
      <c r="BC351" s="139"/>
      <c r="BE351" s="139"/>
      <c r="BF351" s="139"/>
      <c r="BG351" s="139"/>
      <c r="BI351" s="139"/>
      <c r="BJ351" s="139"/>
      <c r="BK351" s="139"/>
      <c r="BM351" s="139"/>
      <c r="BN351" s="139"/>
      <c r="BO351" s="139"/>
      <c r="BQ351" s="139"/>
      <c r="BR351" s="139"/>
      <c r="BS351" s="139"/>
      <c r="BU351" s="139"/>
      <c r="BV351" s="139"/>
      <c r="BW351" s="139"/>
      <c r="BY351" s="139"/>
      <c r="BZ351" s="139"/>
      <c r="CA351" s="139"/>
      <c r="CC351" s="139"/>
      <c r="CD351" s="139"/>
      <c r="CE351" s="139"/>
      <c r="CG351" s="139"/>
      <c r="CH351" s="139"/>
      <c r="CI351" s="139"/>
    </row>
    <row r="352">
      <c r="A352" s="147"/>
      <c r="B352" s="138"/>
      <c r="C352" s="52"/>
      <c r="D352" s="138"/>
      <c r="E352" s="148"/>
      <c r="F352" s="149"/>
      <c r="G352" s="45"/>
      <c r="I352" s="148"/>
      <c r="J352" s="149"/>
      <c r="K352" s="45"/>
      <c r="M352" s="148"/>
      <c r="N352" s="149"/>
      <c r="O352" s="45"/>
      <c r="Q352" s="148"/>
      <c r="R352" s="149"/>
      <c r="S352" s="45"/>
      <c r="U352" s="148"/>
      <c r="V352" s="149"/>
      <c r="W352" s="45"/>
      <c r="Y352" s="148"/>
      <c r="Z352" s="149"/>
      <c r="AA352" s="45"/>
      <c r="AC352" s="148"/>
      <c r="AD352" s="149"/>
      <c r="AE352" s="45"/>
      <c r="AG352" s="148"/>
      <c r="AH352" s="149"/>
      <c r="AI352" s="45"/>
      <c r="AK352" s="148"/>
      <c r="AL352" s="149"/>
      <c r="AM352" s="45"/>
      <c r="AO352" s="148"/>
      <c r="AP352" s="149"/>
      <c r="AQ352" s="45"/>
      <c r="AS352" s="148"/>
      <c r="AT352" s="149"/>
      <c r="AU352" s="45"/>
      <c r="AW352" s="148"/>
      <c r="AX352" s="149"/>
      <c r="AY352" s="45"/>
      <c r="BA352" s="148"/>
      <c r="BB352" s="149"/>
      <c r="BC352" s="45"/>
      <c r="BE352" s="148"/>
      <c r="BF352" s="149"/>
      <c r="BG352" s="45"/>
      <c r="BI352" s="148"/>
      <c r="BJ352" s="149"/>
      <c r="BK352" s="45"/>
      <c r="BM352" s="148"/>
      <c r="BN352" s="149"/>
      <c r="BO352" s="45"/>
      <c r="BQ352" s="148"/>
      <c r="BR352" s="149"/>
      <c r="BS352" s="45"/>
      <c r="BU352" s="148"/>
      <c r="BV352" s="149"/>
      <c r="BW352" s="45"/>
      <c r="BY352" s="148"/>
      <c r="BZ352" s="149"/>
      <c r="CA352" s="45"/>
      <c r="CC352" s="148"/>
      <c r="CD352" s="149"/>
      <c r="CE352" s="45"/>
      <c r="CG352" s="148"/>
      <c r="CH352" s="149"/>
      <c r="CI352" s="45"/>
    </row>
    <row r="353">
      <c r="A353" s="147"/>
      <c r="B353" s="140"/>
      <c r="C353" s="57"/>
      <c r="D353" s="140"/>
      <c r="E353" s="138"/>
      <c r="G353" s="52"/>
      <c r="I353" s="138"/>
      <c r="K353" s="52"/>
      <c r="M353" s="138"/>
      <c r="O353" s="52"/>
      <c r="Q353" s="138"/>
      <c r="S353" s="52"/>
      <c r="U353" s="138"/>
      <c r="W353" s="52"/>
      <c r="Y353" s="138"/>
      <c r="AA353" s="52"/>
      <c r="AC353" s="138"/>
      <c r="AE353" s="52"/>
      <c r="AG353" s="138"/>
      <c r="AI353" s="52"/>
      <c r="AK353" s="138"/>
      <c r="AM353" s="52"/>
      <c r="AO353" s="138"/>
      <c r="AQ353" s="52"/>
      <c r="AS353" s="138"/>
      <c r="AU353" s="52"/>
      <c r="AW353" s="138"/>
      <c r="AY353" s="52"/>
      <c r="BA353" s="138"/>
      <c r="BC353" s="52"/>
      <c r="BE353" s="138"/>
      <c r="BG353" s="52"/>
      <c r="BI353" s="138"/>
      <c r="BK353" s="52"/>
      <c r="BM353" s="138"/>
      <c r="BO353" s="52"/>
      <c r="BQ353" s="138"/>
      <c r="BS353" s="52"/>
      <c r="BU353" s="138"/>
      <c r="BW353" s="52"/>
      <c r="BY353" s="138"/>
      <c r="CA353" s="52"/>
      <c r="CC353" s="138"/>
      <c r="CE353" s="52"/>
      <c r="CG353" s="138"/>
      <c r="CI353" s="52"/>
    </row>
    <row r="354">
      <c r="A354" s="147"/>
      <c r="B354" s="173" t="s">
        <v>168</v>
      </c>
      <c r="C354" s="174" t="s">
        <v>165</v>
      </c>
      <c r="D354" s="175" t="s">
        <v>164</v>
      </c>
      <c r="E354" s="140"/>
      <c r="F354" s="56"/>
      <c r="G354" s="57"/>
      <c r="I354" s="140"/>
      <c r="J354" s="56"/>
      <c r="K354" s="57"/>
      <c r="M354" s="140"/>
      <c r="N354" s="56"/>
      <c r="O354" s="57"/>
      <c r="Q354" s="140"/>
      <c r="R354" s="56"/>
      <c r="S354" s="57"/>
      <c r="U354" s="140"/>
      <c r="V354" s="56"/>
      <c r="W354" s="57"/>
      <c r="Y354" s="140"/>
      <c r="Z354" s="56"/>
      <c r="AA354" s="57"/>
      <c r="AC354" s="140"/>
      <c r="AD354" s="56"/>
      <c r="AE354" s="57"/>
      <c r="AG354" s="140"/>
      <c r="AH354" s="56"/>
      <c r="AI354" s="57"/>
      <c r="AK354" s="140"/>
      <c r="AL354" s="56"/>
      <c r="AM354" s="57"/>
      <c r="AO354" s="140"/>
      <c r="AP354" s="56"/>
      <c r="AQ354" s="57"/>
      <c r="AS354" s="140"/>
      <c r="AT354" s="56"/>
      <c r="AU354" s="57"/>
      <c r="AW354" s="140"/>
      <c r="AX354" s="56"/>
      <c r="AY354" s="57"/>
      <c r="BA354" s="140"/>
      <c r="BB354" s="56"/>
      <c r="BC354" s="57"/>
      <c r="BE354" s="140"/>
      <c r="BF354" s="56"/>
      <c r="BG354" s="57"/>
      <c r="BI354" s="140"/>
      <c r="BJ354" s="56"/>
      <c r="BK354" s="57"/>
      <c r="BM354" s="140"/>
      <c r="BN354" s="56"/>
      <c r="BO354" s="57"/>
      <c r="BQ354" s="140"/>
      <c r="BR354" s="56"/>
      <c r="BS354" s="57"/>
      <c r="BU354" s="140"/>
      <c r="BV354" s="56"/>
      <c r="BW354" s="57"/>
      <c r="BY354" s="140"/>
      <c r="BZ354" s="56"/>
      <c r="CA354" s="57"/>
      <c r="CC354" s="140"/>
      <c r="CD354" s="56"/>
      <c r="CE354" s="57"/>
      <c r="CG354" s="140"/>
      <c r="CH354" s="56"/>
      <c r="CI354" s="57"/>
    </row>
    <row r="355">
      <c r="A355" s="139"/>
      <c r="B355" s="153">
        <v>3.0</v>
      </c>
      <c r="C355" s="154" t="s">
        <v>169</v>
      </c>
      <c r="D355" s="155" t="s">
        <v>170</v>
      </c>
      <c r="E355" s="156" t="s">
        <v>171</v>
      </c>
      <c r="F355" s="38"/>
      <c r="G355" s="157"/>
      <c r="I355" s="156" t="s">
        <v>171</v>
      </c>
      <c r="J355" s="38"/>
      <c r="K355" s="157"/>
      <c r="M355" s="156" t="s">
        <v>171</v>
      </c>
      <c r="N355" s="38"/>
      <c r="O355" s="157"/>
      <c r="Q355" s="156" t="s">
        <v>171</v>
      </c>
      <c r="R355" s="38"/>
      <c r="S355" s="157"/>
      <c r="U355" s="156" t="s">
        <v>171</v>
      </c>
      <c r="V355" s="38"/>
      <c r="W355" s="157"/>
      <c r="Y355" s="156" t="s">
        <v>171</v>
      </c>
      <c r="Z355" s="38"/>
      <c r="AA355" s="157"/>
      <c r="AC355" s="156" t="s">
        <v>171</v>
      </c>
      <c r="AD355" s="38"/>
      <c r="AE355" s="157"/>
      <c r="AG355" s="156" t="s">
        <v>171</v>
      </c>
      <c r="AH355" s="38"/>
      <c r="AI355" s="157"/>
      <c r="AK355" s="156" t="s">
        <v>171</v>
      </c>
      <c r="AL355" s="38"/>
      <c r="AM355" s="157"/>
      <c r="AO355" s="156" t="s">
        <v>171</v>
      </c>
      <c r="AP355" s="38"/>
      <c r="AQ355" s="157"/>
      <c r="AS355" s="156" t="s">
        <v>171</v>
      </c>
      <c r="AT355" s="38"/>
      <c r="AU355" s="157"/>
      <c r="AW355" s="156" t="s">
        <v>171</v>
      </c>
      <c r="AX355" s="38"/>
      <c r="AY355" s="157"/>
      <c r="BA355" s="156" t="s">
        <v>171</v>
      </c>
      <c r="BB355" s="38"/>
      <c r="BC355" s="157"/>
      <c r="BE355" s="156" t="s">
        <v>171</v>
      </c>
      <c r="BF355" s="38"/>
      <c r="BG355" s="157"/>
      <c r="BI355" s="156" t="s">
        <v>171</v>
      </c>
      <c r="BJ355" s="38"/>
      <c r="BK355" s="157"/>
      <c r="BM355" s="156" t="s">
        <v>171</v>
      </c>
      <c r="BN355" s="38"/>
      <c r="BO355" s="157"/>
      <c r="BQ355" s="156" t="s">
        <v>171</v>
      </c>
      <c r="BR355" s="38"/>
      <c r="BS355" s="157"/>
      <c r="BU355" s="156" t="s">
        <v>171</v>
      </c>
      <c r="BV355" s="38"/>
      <c r="BW355" s="157"/>
      <c r="BY355" s="156" t="s">
        <v>171</v>
      </c>
      <c r="BZ355" s="38"/>
      <c r="CA355" s="157"/>
      <c r="CC355" s="156" t="s">
        <v>171</v>
      </c>
      <c r="CD355" s="38"/>
      <c r="CE355" s="157"/>
      <c r="CG355" s="156" t="s">
        <v>171</v>
      </c>
      <c r="CH355" s="38"/>
      <c r="CI355" s="157"/>
    </row>
    <row r="356" ht="7.5" customHeight="1">
      <c r="A356" s="166"/>
      <c r="E356" s="137"/>
      <c r="I356" s="137"/>
      <c r="M356" s="137"/>
      <c r="Q356" s="137"/>
      <c r="U356" s="137"/>
      <c r="Y356" s="137"/>
      <c r="AC356" s="137"/>
      <c r="AG356" s="137"/>
      <c r="AK356" s="137"/>
      <c r="AO356" s="137"/>
      <c r="AS356" s="137"/>
      <c r="AW356" s="137"/>
      <c r="BA356" s="137"/>
      <c r="BE356" s="137"/>
      <c r="BI356" s="137"/>
      <c r="BM356" s="137"/>
      <c r="BQ356" s="137"/>
      <c r="BU356" s="137"/>
      <c r="BY356" s="137"/>
      <c r="CC356" s="137"/>
      <c r="CG356" s="137"/>
    </row>
    <row r="357">
      <c r="A357" s="142" t="b">
        <v>0</v>
      </c>
      <c r="B357" s="143" t="s">
        <v>238</v>
      </c>
      <c r="C357" s="45"/>
      <c r="D357" s="172" t="s">
        <v>38</v>
      </c>
      <c r="E357" s="145" t="s">
        <v>167</v>
      </c>
      <c r="F357" s="146"/>
      <c r="G357" s="146"/>
      <c r="I357" s="145" t="s">
        <v>167</v>
      </c>
      <c r="J357" s="146"/>
      <c r="K357" s="146"/>
      <c r="M357" s="145" t="s">
        <v>167</v>
      </c>
      <c r="N357" s="146"/>
      <c r="O357" s="146"/>
      <c r="Q357" s="145" t="s">
        <v>167</v>
      </c>
      <c r="R357" s="146"/>
      <c r="S357" s="146"/>
      <c r="U357" s="145" t="s">
        <v>167</v>
      </c>
      <c r="V357" s="146"/>
      <c r="W357" s="146"/>
      <c r="Y357" s="145" t="s">
        <v>167</v>
      </c>
      <c r="Z357" s="146"/>
      <c r="AA357" s="146"/>
      <c r="AC357" s="145" t="s">
        <v>167</v>
      </c>
      <c r="AD357" s="146"/>
      <c r="AE357" s="146"/>
      <c r="AG357" s="145" t="s">
        <v>167</v>
      </c>
      <c r="AH357" s="146"/>
      <c r="AI357" s="146"/>
      <c r="AK357" s="145" t="s">
        <v>167</v>
      </c>
      <c r="AL357" s="146"/>
      <c r="AM357" s="146"/>
      <c r="AO357" s="145" t="s">
        <v>167</v>
      </c>
      <c r="AP357" s="146"/>
      <c r="AQ357" s="146"/>
      <c r="AS357" s="145" t="s">
        <v>167</v>
      </c>
      <c r="AT357" s="146"/>
      <c r="AU357" s="146"/>
      <c r="AW357" s="145" t="s">
        <v>167</v>
      </c>
      <c r="AX357" s="146"/>
      <c r="AY357" s="146"/>
      <c r="BA357" s="145" t="s">
        <v>167</v>
      </c>
      <c r="BB357" s="146"/>
      <c r="BC357" s="146"/>
      <c r="BE357" s="145" t="s">
        <v>167</v>
      </c>
      <c r="BF357" s="146"/>
      <c r="BG357" s="146"/>
      <c r="BI357" s="145" t="s">
        <v>167</v>
      </c>
      <c r="BJ357" s="146"/>
      <c r="BK357" s="146"/>
      <c r="BM357" s="145" t="s">
        <v>167</v>
      </c>
      <c r="BN357" s="146"/>
      <c r="BO357" s="146"/>
      <c r="BQ357" s="145" t="s">
        <v>167</v>
      </c>
      <c r="BR357" s="146"/>
      <c r="BS357" s="146"/>
      <c r="BU357" s="145" t="s">
        <v>167</v>
      </c>
      <c r="BV357" s="146"/>
      <c r="BW357" s="146"/>
      <c r="BY357" s="145" t="s">
        <v>167</v>
      </c>
      <c r="BZ357" s="146"/>
      <c r="CA357" s="146"/>
      <c r="CC357" s="145" t="s">
        <v>167</v>
      </c>
      <c r="CD357" s="146"/>
      <c r="CE357" s="146"/>
      <c r="CG357" s="145" t="s">
        <v>167</v>
      </c>
      <c r="CH357" s="146"/>
      <c r="CI357" s="146"/>
    </row>
    <row r="358">
      <c r="A358" s="147"/>
      <c r="B358" s="138"/>
      <c r="C358" s="52"/>
      <c r="D358" s="138"/>
      <c r="E358" s="139"/>
      <c r="F358" s="139"/>
      <c r="G358" s="139"/>
      <c r="I358" s="139"/>
      <c r="J358" s="139"/>
      <c r="K358" s="139"/>
      <c r="M358" s="139"/>
      <c r="N358" s="139"/>
      <c r="O358" s="139"/>
      <c r="Q358" s="139"/>
      <c r="R358" s="139"/>
      <c r="S358" s="139"/>
      <c r="U358" s="139"/>
      <c r="V358" s="139"/>
      <c r="W358" s="139"/>
      <c r="Y358" s="139"/>
      <c r="Z358" s="139"/>
      <c r="AA358" s="139"/>
      <c r="AC358" s="139"/>
      <c r="AD358" s="139"/>
      <c r="AE358" s="139"/>
      <c r="AG358" s="139"/>
      <c r="AH358" s="139"/>
      <c r="AI358" s="139"/>
      <c r="AK358" s="139"/>
      <c r="AL358" s="139"/>
      <c r="AM358" s="139"/>
      <c r="AO358" s="139"/>
      <c r="AP358" s="139"/>
      <c r="AQ358" s="139"/>
      <c r="AS358" s="139"/>
      <c r="AT358" s="139"/>
      <c r="AU358" s="139"/>
      <c r="AW358" s="139"/>
      <c r="AX358" s="139"/>
      <c r="AY358" s="139"/>
      <c r="BA358" s="139"/>
      <c r="BB358" s="139"/>
      <c r="BC358" s="139"/>
      <c r="BE358" s="139"/>
      <c r="BF358" s="139"/>
      <c r="BG358" s="139"/>
      <c r="BI358" s="139"/>
      <c r="BJ358" s="139"/>
      <c r="BK358" s="139"/>
      <c r="BM358" s="139"/>
      <c r="BN358" s="139"/>
      <c r="BO358" s="139"/>
      <c r="BQ358" s="139"/>
      <c r="BR358" s="139"/>
      <c r="BS358" s="139"/>
      <c r="BU358" s="139"/>
      <c r="BV358" s="139"/>
      <c r="BW358" s="139"/>
      <c r="BY358" s="139"/>
      <c r="BZ358" s="139"/>
      <c r="CA358" s="139"/>
      <c r="CC358" s="139"/>
      <c r="CD358" s="139"/>
      <c r="CE358" s="139"/>
      <c r="CG358" s="139"/>
      <c r="CH358" s="139"/>
      <c r="CI358" s="139"/>
    </row>
    <row r="359">
      <c r="A359" s="147"/>
      <c r="B359" s="138"/>
      <c r="C359" s="52"/>
      <c r="D359" s="138"/>
      <c r="E359" s="148"/>
      <c r="F359" s="149"/>
      <c r="G359" s="45"/>
      <c r="I359" s="148"/>
      <c r="J359" s="149"/>
      <c r="K359" s="45"/>
      <c r="M359" s="148"/>
      <c r="N359" s="149"/>
      <c r="O359" s="45"/>
      <c r="Q359" s="148"/>
      <c r="R359" s="149"/>
      <c r="S359" s="45"/>
      <c r="U359" s="148"/>
      <c r="V359" s="149"/>
      <c r="W359" s="45"/>
      <c r="Y359" s="148"/>
      <c r="Z359" s="149"/>
      <c r="AA359" s="45"/>
      <c r="AC359" s="148"/>
      <c r="AD359" s="149"/>
      <c r="AE359" s="45"/>
      <c r="AG359" s="148"/>
      <c r="AH359" s="149"/>
      <c r="AI359" s="45"/>
      <c r="AK359" s="148"/>
      <c r="AL359" s="149"/>
      <c r="AM359" s="45"/>
      <c r="AO359" s="148"/>
      <c r="AP359" s="149"/>
      <c r="AQ359" s="45"/>
      <c r="AS359" s="148"/>
      <c r="AT359" s="149"/>
      <c r="AU359" s="45"/>
      <c r="AW359" s="148"/>
      <c r="AX359" s="149"/>
      <c r="AY359" s="45"/>
      <c r="BA359" s="148"/>
      <c r="BB359" s="149"/>
      <c r="BC359" s="45"/>
      <c r="BE359" s="148"/>
      <c r="BF359" s="149"/>
      <c r="BG359" s="45"/>
      <c r="BI359" s="148"/>
      <c r="BJ359" s="149"/>
      <c r="BK359" s="45"/>
      <c r="BM359" s="148"/>
      <c r="BN359" s="149"/>
      <c r="BO359" s="45"/>
      <c r="BQ359" s="148"/>
      <c r="BR359" s="149"/>
      <c r="BS359" s="45"/>
      <c r="BU359" s="148"/>
      <c r="BV359" s="149"/>
      <c r="BW359" s="45"/>
      <c r="BY359" s="148"/>
      <c r="BZ359" s="149"/>
      <c r="CA359" s="45"/>
      <c r="CC359" s="148"/>
      <c r="CD359" s="149"/>
      <c r="CE359" s="45"/>
      <c r="CG359" s="148"/>
      <c r="CH359" s="149"/>
      <c r="CI359" s="45"/>
    </row>
    <row r="360">
      <c r="A360" s="147"/>
      <c r="B360" s="140"/>
      <c r="C360" s="57"/>
      <c r="D360" s="140"/>
      <c r="E360" s="138"/>
      <c r="G360" s="52"/>
      <c r="I360" s="138"/>
      <c r="K360" s="52"/>
      <c r="M360" s="138"/>
      <c r="O360" s="52"/>
      <c r="Q360" s="138"/>
      <c r="S360" s="52"/>
      <c r="U360" s="138"/>
      <c r="W360" s="52"/>
      <c r="Y360" s="138"/>
      <c r="AA360" s="52"/>
      <c r="AC360" s="138"/>
      <c r="AE360" s="52"/>
      <c r="AG360" s="138"/>
      <c r="AI360" s="52"/>
      <c r="AK360" s="138"/>
      <c r="AM360" s="52"/>
      <c r="AO360" s="138"/>
      <c r="AQ360" s="52"/>
      <c r="AS360" s="138"/>
      <c r="AU360" s="52"/>
      <c r="AW360" s="138"/>
      <c r="AY360" s="52"/>
      <c r="BA360" s="138"/>
      <c r="BC360" s="52"/>
      <c r="BE360" s="138"/>
      <c r="BG360" s="52"/>
      <c r="BI360" s="138"/>
      <c r="BK360" s="52"/>
      <c r="BM360" s="138"/>
      <c r="BO360" s="52"/>
      <c r="BQ360" s="138"/>
      <c r="BS360" s="52"/>
      <c r="BU360" s="138"/>
      <c r="BW360" s="52"/>
      <c r="BY360" s="138"/>
      <c r="CA360" s="52"/>
      <c r="CC360" s="138"/>
      <c r="CE360" s="52"/>
      <c r="CG360" s="138"/>
      <c r="CI360" s="52"/>
    </row>
    <row r="361">
      <c r="A361" s="147"/>
      <c r="B361" s="173" t="s">
        <v>168</v>
      </c>
      <c r="C361" s="174" t="s">
        <v>165</v>
      </c>
      <c r="D361" s="175" t="s">
        <v>164</v>
      </c>
      <c r="E361" s="140"/>
      <c r="F361" s="56"/>
      <c r="G361" s="57"/>
      <c r="I361" s="140"/>
      <c r="J361" s="56"/>
      <c r="K361" s="57"/>
      <c r="M361" s="140"/>
      <c r="N361" s="56"/>
      <c r="O361" s="57"/>
      <c r="Q361" s="140"/>
      <c r="R361" s="56"/>
      <c r="S361" s="57"/>
      <c r="U361" s="140"/>
      <c r="V361" s="56"/>
      <c r="W361" s="57"/>
      <c r="Y361" s="140"/>
      <c r="Z361" s="56"/>
      <c r="AA361" s="57"/>
      <c r="AC361" s="140"/>
      <c r="AD361" s="56"/>
      <c r="AE361" s="57"/>
      <c r="AG361" s="140"/>
      <c r="AH361" s="56"/>
      <c r="AI361" s="57"/>
      <c r="AK361" s="140"/>
      <c r="AL361" s="56"/>
      <c r="AM361" s="57"/>
      <c r="AO361" s="140"/>
      <c r="AP361" s="56"/>
      <c r="AQ361" s="57"/>
      <c r="AS361" s="140"/>
      <c r="AT361" s="56"/>
      <c r="AU361" s="57"/>
      <c r="AW361" s="140"/>
      <c r="AX361" s="56"/>
      <c r="AY361" s="57"/>
      <c r="BA361" s="140"/>
      <c r="BB361" s="56"/>
      <c r="BC361" s="57"/>
      <c r="BE361" s="140"/>
      <c r="BF361" s="56"/>
      <c r="BG361" s="57"/>
      <c r="BI361" s="140"/>
      <c r="BJ361" s="56"/>
      <c r="BK361" s="57"/>
      <c r="BM361" s="140"/>
      <c r="BN361" s="56"/>
      <c r="BO361" s="57"/>
      <c r="BQ361" s="140"/>
      <c r="BR361" s="56"/>
      <c r="BS361" s="57"/>
      <c r="BU361" s="140"/>
      <c r="BV361" s="56"/>
      <c r="BW361" s="57"/>
      <c r="BY361" s="140"/>
      <c r="BZ361" s="56"/>
      <c r="CA361" s="57"/>
      <c r="CC361" s="140"/>
      <c r="CD361" s="56"/>
      <c r="CE361" s="57"/>
      <c r="CG361" s="140"/>
      <c r="CH361" s="56"/>
      <c r="CI361" s="57"/>
    </row>
    <row r="362">
      <c r="A362" s="139"/>
      <c r="B362" s="153">
        <v>3.0</v>
      </c>
      <c r="C362" s="154" t="s">
        <v>169</v>
      </c>
      <c r="D362" s="155" t="s">
        <v>239</v>
      </c>
      <c r="E362" s="156" t="s">
        <v>171</v>
      </c>
      <c r="F362" s="38"/>
      <c r="G362" s="157"/>
      <c r="I362" s="156" t="s">
        <v>171</v>
      </c>
      <c r="J362" s="38"/>
      <c r="K362" s="157"/>
      <c r="M362" s="156" t="s">
        <v>171</v>
      </c>
      <c r="N362" s="38"/>
      <c r="O362" s="157"/>
      <c r="Q362" s="156" t="s">
        <v>171</v>
      </c>
      <c r="R362" s="38"/>
      <c r="S362" s="157"/>
      <c r="U362" s="156" t="s">
        <v>171</v>
      </c>
      <c r="V362" s="38"/>
      <c r="W362" s="157"/>
      <c r="Y362" s="156" t="s">
        <v>171</v>
      </c>
      <c r="Z362" s="38"/>
      <c r="AA362" s="157"/>
      <c r="AC362" s="156" t="s">
        <v>171</v>
      </c>
      <c r="AD362" s="38"/>
      <c r="AE362" s="157"/>
      <c r="AG362" s="156" t="s">
        <v>171</v>
      </c>
      <c r="AH362" s="38"/>
      <c r="AI362" s="157"/>
      <c r="AK362" s="156" t="s">
        <v>171</v>
      </c>
      <c r="AL362" s="38"/>
      <c r="AM362" s="157"/>
      <c r="AO362" s="156" t="s">
        <v>171</v>
      </c>
      <c r="AP362" s="38"/>
      <c r="AQ362" s="157"/>
      <c r="AS362" s="156" t="s">
        <v>171</v>
      </c>
      <c r="AT362" s="38"/>
      <c r="AU362" s="157"/>
      <c r="AW362" s="156" t="s">
        <v>171</v>
      </c>
      <c r="AX362" s="38"/>
      <c r="AY362" s="157"/>
      <c r="BA362" s="156" t="s">
        <v>171</v>
      </c>
      <c r="BB362" s="38"/>
      <c r="BC362" s="157"/>
      <c r="BE362" s="156" t="s">
        <v>171</v>
      </c>
      <c r="BF362" s="38"/>
      <c r="BG362" s="157"/>
      <c r="BI362" s="156" t="s">
        <v>171</v>
      </c>
      <c r="BJ362" s="38"/>
      <c r="BK362" s="157"/>
      <c r="BM362" s="156" t="s">
        <v>171</v>
      </c>
      <c r="BN362" s="38"/>
      <c r="BO362" s="157"/>
      <c r="BQ362" s="156" t="s">
        <v>171</v>
      </c>
      <c r="BR362" s="38"/>
      <c r="BS362" s="157"/>
      <c r="BU362" s="156" t="s">
        <v>171</v>
      </c>
      <c r="BV362" s="38"/>
      <c r="BW362" s="157"/>
      <c r="BY362" s="156" t="s">
        <v>171</v>
      </c>
      <c r="BZ362" s="38"/>
      <c r="CA362" s="157"/>
      <c r="CC362" s="156" t="s">
        <v>171</v>
      </c>
      <c r="CD362" s="38"/>
      <c r="CE362" s="157"/>
      <c r="CG362" s="156" t="s">
        <v>171</v>
      </c>
      <c r="CH362" s="38"/>
      <c r="CI362" s="157"/>
    </row>
    <row r="363" ht="9.75" customHeight="1">
      <c r="A363" s="166"/>
      <c r="E363" s="137"/>
      <c r="I363" s="137"/>
      <c r="M363" s="137"/>
      <c r="Q363" s="137"/>
      <c r="U363" s="137"/>
      <c r="Y363" s="137"/>
      <c r="AC363" s="137"/>
      <c r="AG363" s="137"/>
      <c r="AK363" s="137"/>
      <c r="AO363" s="137"/>
      <c r="AS363" s="137"/>
      <c r="AW363" s="137"/>
      <c r="BA363" s="137"/>
      <c r="BE363" s="137"/>
      <c r="BI363" s="137"/>
      <c r="BM363" s="137"/>
      <c r="BQ363" s="137"/>
      <c r="BU363" s="137"/>
      <c r="BY363" s="137"/>
      <c r="CC363" s="137"/>
      <c r="CG363" s="137"/>
    </row>
    <row r="364">
      <c r="A364" s="142" t="b">
        <v>0</v>
      </c>
      <c r="B364" s="143" t="s">
        <v>199</v>
      </c>
      <c r="C364" s="45"/>
      <c r="D364" s="172" t="s">
        <v>38</v>
      </c>
      <c r="E364" s="145" t="s">
        <v>167</v>
      </c>
      <c r="F364" s="146"/>
      <c r="G364" s="146"/>
      <c r="I364" s="145" t="s">
        <v>167</v>
      </c>
      <c r="J364" s="146"/>
      <c r="K364" s="146"/>
      <c r="M364" s="145" t="s">
        <v>167</v>
      </c>
      <c r="N364" s="146"/>
      <c r="O364" s="146"/>
      <c r="Q364" s="145" t="s">
        <v>167</v>
      </c>
      <c r="R364" s="146"/>
      <c r="S364" s="146"/>
      <c r="U364" s="145" t="s">
        <v>167</v>
      </c>
      <c r="V364" s="146"/>
      <c r="W364" s="146"/>
      <c r="Y364" s="145" t="s">
        <v>167</v>
      </c>
      <c r="Z364" s="146"/>
      <c r="AA364" s="146"/>
      <c r="AC364" s="145" t="s">
        <v>167</v>
      </c>
      <c r="AD364" s="146"/>
      <c r="AE364" s="146"/>
      <c r="AG364" s="145" t="s">
        <v>167</v>
      </c>
      <c r="AH364" s="146"/>
      <c r="AI364" s="146"/>
      <c r="AK364" s="145" t="s">
        <v>167</v>
      </c>
      <c r="AL364" s="146"/>
      <c r="AM364" s="146"/>
      <c r="AO364" s="145" t="s">
        <v>167</v>
      </c>
      <c r="AP364" s="146"/>
      <c r="AQ364" s="146"/>
      <c r="AS364" s="145" t="s">
        <v>167</v>
      </c>
      <c r="AT364" s="146"/>
      <c r="AU364" s="146"/>
      <c r="AW364" s="145" t="s">
        <v>167</v>
      </c>
      <c r="AX364" s="146"/>
      <c r="AY364" s="146"/>
      <c r="BA364" s="145" t="s">
        <v>167</v>
      </c>
      <c r="BB364" s="146"/>
      <c r="BC364" s="146"/>
      <c r="BE364" s="145" t="s">
        <v>167</v>
      </c>
      <c r="BF364" s="146"/>
      <c r="BG364" s="146"/>
      <c r="BI364" s="145" t="s">
        <v>167</v>
      </c>
      <c r="BJ364" s="146"/>
      <c r="BK364" s="146"/>
      <c r="BM364" s="145" t="s">
        <v>167</v>
      </c>
      <c r="BN364" s="146"/>
      <c r="BO364" s="146"/>
      <c r="BQ364" s="145" t="s">
        <v>167</v>
      </c>
      <c r="BR364" s="146"/>
      <c r="BS364" s="146"/>
      <c r="BU364" s="145" t="s">
        <v>167</v>
      </c>
      <c r="BV364" s="146"/>
      <c r="BW364" s="146"/>
      <c r="BY364" s="145" t="s">
        <v>167</v>
      </c>
      <c r="BZ364" s="146"/>
      <c r="CA364" s="146"/>
      <c r="CC364" s="145" t="s">
        <v>167</v>
      </c>
      <c r="CD364" s="146"/>
      <c r="CE364" s="146"/>
      <c r="CG364" s="145" t="s">
        <v>167</v>
      </c>
      <c r="CH364" s="146"/>
      <c r="CI364" s="146"/>
    </row>
    <row r="365">
      <c r="A365" s="147"/>
      <c r="B365" s="138"/>
      <c r="C365" s="52"/>
      <c r="D365" s="138"/>
      <c r="E365" s="139"/>
      <c r="F365" s="139"/>
      <c r="G365" s="139"/>
      <c r="I365" s="139"/>
      <c r="J365" s="139"/>
      <c r="K365" s="139"/>
      <c r="M365" s="139"/>
      <c r="N365" s="139"/>
      <c r="O365" s="139"/>
      <c r="Q365" s="139"/>
      <c r="R365" s="139"/>
      <c r="S365" s="139"/>
      <c r="U365" s="139"/>
      <c r="V365" s="139"/>
      <c r="W365" s="139"/>
      <c r="Y365" s="139"/>
      <c r="Z365" s="139"/>
      <c r="AA365" s="139"/>
      <c r="AC365" s="139"/>
      <c r="AD365" s="139"/>
      <c r="AE365" s="139"/>
      <c r="AG365" s="139"/>
      <c r="AH365" s="139"/>
      <c r="AI365" s="139"/>
      <c r="AK365" s="139"/>
      <c r="AL365" s="139"/>
      <c r="AM365" s="139"/>
      <c r="AO365" s="139"/>
      <c r="AP365" s="139"/>
      <c r="AQ365" s="139"/>
      <c r="AS365" s="139"/>
      <c r="AT365" s="139"/>
      <c r="AU365" s="139"/>
      <c r="AW365" s="139"/>
      <c r="AX365" s="139"/>
      <c r="AY365" s="139"/>
      <c r="BA365" s="139"/>
      <c r="BB365" s="139"/>
      <c r="BC365" s="139"/>
      <c r="BE365" s="139"/>
      <c r="BF365" s="139"/>
      <c r="BG365" s="139"/>
      <c r="BI365" s="139"/>
      <c r="BJ365" s="139"/>
      <c r="BK365" s="139"/>
      <c r="BM365" s="139"/>
      <c r="BN365" s="139"/>
      <c r="BO365" s="139"/>
      <c r="BQ365" s="139"/>
      <c r="BR365" s="139"/>
      <c r="BS365" s="139"/>
      <c r="BU365" s="139"/>
      <c r="BV365" s="139"/>
      <c r="BW365" s="139"/>
      <c r="BY365" s="139"/>
      <c r="BZ365" s="139"/>
      <c r="CA365" s="139"/>
      <c r="CC365" s="139"/>
      <c r="CD365" s="139"/>
      <c r="CE365" s="139"/>
      <c r="CG365" s="139"/>
      <c r="CH365" s="139"/>
      <c r="CI365" s="139"/>
    </row>
    <row r="366">
      <c r="A366" s="147"/>
      <c r="B366" s="138"/>
      <c r="C366" s="52"/>
      <c r="D366" s="138"/>
      <c r="E366" s="148"/>
      <c r="F366" s="149"/>
      <c r="G366" s="45"/>
      <c r="I366" s="148"/>
      <c r="J366" s="149"/>
      <c r="K366" s="45"/>
      <c r="M366" s="148"/>
      <c r="N366" s="149"/>
      <c r="O366" s="45"/>
      <c r="Q366" s="148"/>
      <c r="R366" s="149"/>
      <c r="S366" s="45"/>
      <c r="U366" s="148"/>
      <c r="V366" s="149"/>
      <c r="W366" s="45"/>
      <c r="Y366" s="148"/>
      <c r="Z366" s="149"/>
      <c r="AA366" s="45"/>
      <c r="AC366" s="148"/>
      <c r="AD366" s="149"/>
      <c r="AE366" s="45"/>
      <c r="AG366" s="148"/>
      <c r="AH366" s="149"/>
      <c r="AI366" s="45"/>
      <c r="AK366" s="148"/>
      <c r="AL366" s="149"/>
      <c r="AM366" s="45"/>
      <c r="AO366" s="148"/>
      <c r="AP366" s="149"/>
      <c r="AQ366" s="45"/>
      <c r="AS366" s="148"/>
      <c r="AT366" s="149"/>
      <c r="AU366" s="45"/>
      <c r="AW366" s="148"/>
      <c r="AX366" s="149"/>
      <c r="AY366" s="45"/>
      <c r="BA366" s="148"/>
      <c r="BB366" s="149"/>
      <c r="BC366" s="45"/>
      <c r="BE366" s="148"/>
      <c r="BF366" s="149"/>
      <c r="BG366" s="45"/>
      <c r="BI366" s="148"/>
      <c r="BJ366" s="149"/>
      <c r="BK366" s="45"/>
      <c r="BM366" s="148"/>
      <c r="BN366" s="149"/>
      <c r="BO366" s="45"/>
      <c r="BQ366" s="148"/>
      <c r="BR366" s="149"/>
      <c r="BS366" s="45"/>
      <c r="BU366" s="148"/>
      <c r="BV366" s="149"/>
      <c r="BW366" s="45"/>
      <c r="BY366" s="148"/>
      <c r="BZ366" s="149"/>
      <c r="CA366" s="45"/>
      <c r="CC366" s="148"/>
      <c r="CD366" s="149"/>
      <c r="CE366" s="45"/>
      <c r="CG366" s="148"/>
      <c r="CH366" s="149"/>
      <c r="CI366" s="45"/>
    </row>
    <row r="367">
      <c r="A367" s="147"/>
      <c r="B367" s="140"/>
      <c r="C367" s="57"/>
      <c r="D367" s="140"/>
      <c r="E367" s="138"/>
      <c r="G367" s="52"/>
      <c r="I367" s="138"/>
      <c r="K367" s="52"/>
      <c r="M367" s="138"/>
      <c r="O367" s="52"/>
      <c r="Q367" s="138"/>
      <c r="S367" s="52"/>
      <c r="U367" s="138"/>
      <c r="W367" s="52"/>
      <c r="Y367" s="138"/>
      <c r="AA367" s="52"/>
      <c r="AC367" s="138"/>
      <c r="AE367" s="52"/>
      <c r="AG367" s="138"/>
      <c r="AI367" s="52"/>
      <c r="AK367" s="138"/>
      <c r="AM367" s="52"/>
      <c r="AO367" s="138"/>
      <c r="AQ367" s="52"/>
      <c r="AS367" s="138"/>
      <c r="AU367" s="52"/>
      <c r="AW367" s="138"/>
      <c r="AY367" s="52"/>
      <c r="BA367" s="138"/>
      <c r="BC367" s="52"/>
      <c r="BE367" s="138"/>
      <c r="BG367" s="52"/>
      <c r="BI367" s="138"/>
      <c r="BK367" s="52"/>
      <c r="BM367" s="138"/>
      <c r="BO367" s="52"/>
      <c r="BQ367" s="138"/>
      <c r="BS367" s="52"/>
      <c r="BU367" s="138"/>
      <c r="BW367" s="52"/>
      <c r="BY367" s="138"/>
      <c r="CA367" s="52"/>
      <c r="CC367" s="138"/>
      <c r="CE367" s="52"/>
      <c r="CG367" s="138"/>
      <c r="CI367" s="52"/>
    </row>
    <row r="368">
      <c r="A368" s="147"/>
      <c r="B368" s="173" t="s">
        <v>168</v>
      </c>
      <c r="C368" s="174" t="s">
        <v>165</v>
      </c>
      <c r="D368" s="175" t="s">
        <v>164</v>
      </c>
      <c r="E368" s="140"/>
      <c r="F368" s="56"/>
      <c r="G368" s="57"/>
      <c r="I368" s="140"/>
      <c r="J368" s="56"/>
      <c r="K368" s="57"/>
      <c r="M368" s="140"/>
      <c r="N368" s="56"/>
      <c r="O368" s="57"/>
      <c r="Q368" s="140"/>
      <c r="R368" s="56"/>
      <c r="S368" s="57"/>
      <c r="U368" s="140"/>
      <c r="V368" s="56"/>
      <c r="W368" s="57"/>
      <c r="Y368" s="140"/>
      <c r="Z368" s="56"/>
      <c r="AA368" s="57"/>
      <c r="AC368" s="140"/>
      <c r="AD368" s="56"/>
      <c r="AE368" s="57"/>
      <c r="AG368" s="140"/>
      <c r="AH368" s="56"/>
      <c r="AI368" s="57"/>
      <c r="AK368" s="140"/>
      <c r="AL368" s="56"/>
      <c r="AM368" s="57"/>
      <c r="AO368" s="140"/>
      <c r="AP368" s="56"/>
      <c r="AQ368" s="57"/>
      <c r="AS368" s="140"/>
      <c r="AT368" s="56"/>
      <c r="AU368" s="57"/>
      <c r="AW368" s="140"/>
      <c r="AX368" s="56"/>
      <c r="AY368" s="57"/>
      <c r="BA368" s="140"/>
      <c r="BB368" s="56"/>
      <c r="BC368" s="57"/>
      <c r="BE368" s="140"/>
      <c r="BF368" s="56"/>
      <c r="BG368" s="57"/>
      <c r="BI368" s="140"/>
      <c r="BJ368" s="56"/>
      <c r="BK368" s="57"/>
      <c r="BM368" s="140"/>
      <c r="BN368" s="56"/>
      <c r="BO368" s="57"/>
      <c r="BQ368" s="140"/>
      <c r="BR368" s="56"/>
      <c r="BS368" s="57"/>
      <c r="BU368" s="140"/>
      <c r="BV368" s="56"/>
      <c r="BW368" s="57"/>
      <c r="BY368" s="140"/>
      <c r="BZ368" s="56"/>
      <c r="CA368" s="57"/>
      <c r="CC368" s="140"/>
      <c r="CD368" s="56"/>
      <c r="CE368" s="57"/>
      <c r="CG368" s="140"/>
      <c r="CH368" s="56"/>
      <c r="CI368" s="57"/>
    </row>
    <row r="369">
      <c r="A369" s="139"/>
      <c r="B369" s="153">
        <v>3.0</v>
      </c>
      <c r="C369" s="179">
        <v>46007.0</v>
      </c>
      <c r="D369" s="155" t="s">
        <v>174</v>
      </c>
      <c r="E369" s="156" t="s">
        <v>171</v>
      </c>
      <c r="F369" s="38"/>
      <c r="G369" s="157"/>
      <c r="I369" s="156" t="s">
        <v>171</v>
      </c>
      <c r="J369" s="38"/>
      <c r="K369" s="157"/>
      <c r="M369" s="156" t="s">
        <v>171</v>
      </c>
      <c r="N369" s="38"/>
      <c r="O369" s="157"/>
      <c r="Q369" s="156" t="s">
        <v>171</v>
      </c>
      <c r="R369" s="38"/>
      <c r="S369" s="157"/>
      <c r="U369" s="156" t="s">
        <v>171</v>
      </c>
      <c r="V369" s="38"/>
      <c r="W369" s="157"/>
      <c r="Y369" s="156" t="s">
        <v>171</v>
      </c>
      <c r="Z369" s="38"/>
      <c r="AA369" s="157"/>
      <c r="AC369" s="156" t="s">
        <v>171</v>
      </c>
      <c r="AD369" s="38"/>
      <c r="AE369" s="157"/>
      <c r="AG369" s="156" t="s">
        <v>171</v>
      </c>
      <c r="AH369" s="38"/>
      <c r="AI369" s="157"/>
      <c r="AK369" s="156" t="s">
        <v>171</v>
      </c>
      <c r="AL369" s="38"/>
      <c r="AM369" s="157"/>
      <c r="AO369" s="156" t="s">
        <v>171</v>
      </c>
      <c r="AP369" s="38"/>
      <c r="AQ369" s="157"/>
      <c r="AS369" s="156" t="s">
        <v>171</v>
      </c>
      <c r="AT369" s="38"/>
      <c r="AU369" s="157"/>
      <c r="AW369" s="156" t="s">
        <v>171</v>
      </c>
      <c r="AX369" s="38"/>
      <c r="AY369" s="157"/>
      <c r="BA369" s="156" t="s">
        <v>171</v>
      </c>
      <c r="BB369" s="38"/>
      <c r="BC369" s="157"/>
      <c r="BE369" s="156" t="s">
        <v>171</v>
      </c>
      <c r="BF369" s="38"/>
      <c r="BG369" s="157"/>
      <c r="BI369" s="156" t="s">
        <v>171</v>
      </c>
      <c r="BJ369" s="38"/>
      <c r="BK369" s="157"/>
      <c r="BM369" s="156" t="s">
        <v>171</v>
      </c>
      <c r="BN369" s="38"/>
      <c r="BO369" s="157"/>
      <c r="BQ369" s="156" t="s">
        <v>171</v>
      </c>
      <c r="BR369" s="38"/>
      <c r="BS369" s="157"/>
      <c r="BU369" s="156" t="s">
        <v>171</v>
      </c>
      <c r="BV369" s="38"/>
      <c r="BW369" s="157"/>
      <c r="BY369" s="156" t="s">
        <v>171</v>
      </c>
      <c r="BZ369" s="38"/>
      <c r="CA369" s="157"/>
      <c r="CC369" s="156" t="s">
        <v>171</v>
      </c>
      <c r="CD369" s="38"/>
      <c r="CE369" s="157"/>
      <c r="CG369" s="156" t="s">
        <v>171</v>
      </c>
      <c r="CH369" s="38"/>
      <c r="CI369" s="157"/>
    </row>
    <row r="370" ht="9.75" customHeight="1">
      <c r="A370" s="166"/>
      <c r="E370" s="137"/>
      <c r="I370" s="137"/>
      <c r="M370" s="137"/>
      <c r="Q370" s="137"/>
      <c r="U370" s="137"/>
      <c r="Y370" s="137"/>
      <c r="AC370" s="137"/>
      <c r="AG370" s="137"/>
      <c r="AK370" s="137"/>
      <c r="AO370" s="137"/>
      <c r="AS370" s="137"/>
      <c r="AW370" s="137"/>
      <c r="BA370" s="137"/>
      <c r="BE370" s="137"/>
      <c r="BI370" s="137"/>
      <c r="BM370" s="137"/>
      <c r="BQ370" s="137"/>
      <c r="BU370" s="137"/>
      <c r="BY370" s="137"/>
      <c r="CC370" s="137"/>
      <c r="CG370" s="137"/>
    </row>
    <row r="371">
      <c r="A371" s="142" t="b">
        <v>0</v>
      </c>
      <c r="B371" s="143" t="s">
        <v>224</v>
      </c>
      <c r="C371" s="45"/>
      <c r="D371" s="172" t="s">
        <v>38</v>
      </c>
      <c r="E371" s="145" t="s">
        <v>167</v>
      </c>
      <c r="F371" s="146"/>
      <c r="G371" s="146"/>
      <c r="I371" s="145" t="s">
        <v>167</v>
      </c>
      <c r="J371" s="146"/>
      <c r="K371" s="146"/>
      <c r="M371" s="145" t="s">
        <v>167</v>
      </c>
      <c r="N371" s="146"/>
      <c r="O371" s="146"/>
      <c r="Q371" s="145" t="s">
        <v>167</v>
      </c>
      <c r="R371" s="146"/>
      <c r="S371" s="146"/>
      <c r="U371" s="145" t="s">
        <v>167</v>
      </c>
      <c r="V371" s="146"/>
      <c r="W371" s="146"/>
      <c r="Y371" s="145" t="s">
        <v>167</v>
      </c>
      <c r="Z371" s="146"/>
      <c r="AA371" s="146"/>
      <c r="AC371" s="145" t="s">
        <v>167</v>
      </c>
      <c r="AD371" s="146"/>
      <c r="AE371" s="146"/>
      <c r="AG371" s="145" t="s">
        <v>167</v>
      </c>
      <c r="AH371" s="146"/>
      <c r="AI371" s="146"/>
      <c r="AK371" s="145" t="s">
        <v>167</v>
      </c>
      <c r="AL371" s="146"/>
      <c r="AM371" s="146"/>
      <c r="AO371" s="145" t="s">
        <v>167</v>
      </c>
      <c r="AP371" s="146"/>
      <c r="AQ371" s="146"/>
      <c r="AS371" s="145" t="s">
        <v>167</v>
      </c>
      <c r="AT371" s="146"/>
      <c r="AU371" s="146"/>
      <c r="AW371" s="145" t="s">
        <v>167</v>
      </c>
      <c r="AX371" s="146"/>
      <c r="AY371" s="146"/>
      <c r="BA371" s="145" t="s">
        <v>167</v>
      </c>
      <c r="BB371" s="146"/>
      <c r="BC371" s="146"/>
      <c r="BE371" s="145" t="s">
        <v>167</v>
      </c>
      <c r="BF371" s="146"/>
      <c r="BG371" s="146"/>
      <c r="BI371" s="145" t="s">
        <v>167</v>
      </c>
      <c r="BJ371" s="146"/>
      <c r="BK371" s="146"/>
      <c r="BM371" s="145" t="s">
        <v>167</v>
      </c>
      <c r="BN371" s="146"/>
      <c r="BO371" s="146"/>
      <c r="BQ371" s="145" t="s">
        <v>167</v>
      </c>
      <c r="BR371" s="146"/>
      <c r="BS371" s="146"/>
      <c r="BU371" s="145" t="s">
        <v>167</v>
      </c>
      <c r="BV371" s="146"/>
      <c r="BW371" s="146"/>
      <c r="BY371" s="145" t="s">
        <v>167</v>
      </c>
      <c r="BZ371" s="146"/>
      <c r="CA371" s="146"/>
      <c r="CC371" s="145" t="s">
        <v>167</v>
      </c>
      <c r="CD371" s="146"/>
      <c r="CE371" s="146"/>
      <c r="CG371" s="145" t="s">
        <v>167</v>
      </c>
      <c r="CH371" s="146"/>
      <c r="CI371" s="146"/>
    </row>
    <row r="372">
      <c r="A372" s="147"/>
      <c r="B372" s="138"/>
      <c r="C372" s="52"/>
      <c r="D372" s="138"/>
      <c r="E372" s="139"/>
      <c r="F372" s="139"/>
      <c r="G372" s="139"/>
      <c r="I372" s="139"/>
      <c r="J372" s="139"/>
      <c r="K372" s="139"/>
      <c r="M372" s="139"/>
      <c r="N372" s="139"/>
      <c r="O372" s="139"/>
      <c r="Q372" s="139"/>
      <c r="R372" s="139"/>
      <c r="S372" s="139"/>
      <c r="U372" s="139"/>
      <c r="V372" s="139"/>
      <c r="W372" s="139"/>
      <c r="Y372" s="139"/>
      <c r="Z372" s="139"/>
      <c r="AA372" s="139"/>
      <c r="AC372" s="139"/>
      <c r="AD372" s="139"/>
      <c r="AE372" s="139"/>
      <c r="AG372" s="139"/>
      <c r="AH372" s="139"/>
      <c r="AI372" s="139"/>
      <c r="AK372" s="139"/>
      <c r="AL372" s="139"/>
      <c r="AM372" s="139"/>
      <c r="AO372" s="139"/>
      <c r="AP372" s="139"/>
      <c r="AQ372" s="139"/>
      <c r="AS372" s="139"/>
      <c r="AT372" s="139"/>
      <c r="AU372" s="139"/>
      <c r="AW372" s="139"/>
      <c r="AX372" s="139"/>
      <c r="AY372" s="139"/>
      <c r="BA372" s="139"/>
      <c r="BB372" s="139"/>
      <c r="BC372" s="139"/>
      <c r="BE372" s="139"/>
      <c r="BF372" s="139"/>
      <c r="BG372" s="139"/>
      <c r="BI372" s="139"/>
      <c r="BJ372" s="139"/>
      <c r="BK372" s="139"/>
      <c r="BM372" s="139"/>
      <c r="BN372" s="139"/>
      <c r="BO372" s="139"/>
      <c r="BQ372" s="139"/>
      <c r="BR372" s="139"/>
      <c r="BS372" s="139"/>
      <c r="BU372" s="139"/>
      <c r="BV372" s="139"/>
      <c r="BW372" s="139"/>
      <c r="BY372" s="139"/>
      <c r="BZ372" s="139"/>
      <c r="CA372" s="139"/>
      <c r="CC372" s="139"/>
      <c r="CD372" s="139"/>
      <c r="CE372" s="139"/>
      <c r="CG372" s="139"/>
      <c r="CH372" s="139"/>
      <c r="CI372" s="139"/>
    </row>
    <row r="373">
      <c r="A373" s="147"/>
      <c r="B373" s="138"/>
      <c r="C373" s="52"/>
      <c r="D373" s="138"/>
      <c r="E373" s="148"/>
      <c r="F373" s="149"/>
      <c r="G373" s="45"/>
      <c r="I373" s="148"/>
      <c r="J373" s="149"/>
      <c r="K373" s="45"/>
      <c r="M373" s="148"/>
      <c r="N373" s="149"/>
      <c r="O373" s="45"/>
      <c r="Q373" s="148"/>
      <c r="R373" s="149"/>
      <c r="S373" s="45"/>
      <c r="U373" s="148"/>
      <c r="V373" s="149"/>
      <c r="W373" s="45"/>
      <c r="Y373" s="148"/>
      <c r="Z373" s="149"/>
      <c r="AA373" s="45"/>
      <c r="AC373" s="148"/>
      <c r="AD373" s="149"/>
      <c r="AE373" s="45"/>
      <c r="AG373" s="148"/>
      <c r="AH373" s="149"/>
      <c r="AI373" s="45"/>
      <c r="AK373" s="148"/>
      <c r="AL373" s="149"/>
      <c r="AM373" s="45"/>
      <c r="AO373" s="148"/>
      <c r="AP373" s="149"/>
      <c r="AQ373" s="45"/>
      <c r="AS373" s="148"/>
      <c r="AT373" s="149"/>
      <c r="AU373" s="45"/>
      <c r="AW373" s="148"/>
      <c r="AX373" s="149"/>
      <c r="AY373" s="45"/>
      <c r="BA373" s="148"/>
      <c r="BB373" s="149"/>
      <c r="BC373" s="45"/>
      <c r="BE373" s="148"/>
      <c r="BF373" s="149"/>
      <c r="BG373" s="45"/>
      <c r="BI373" s="148"/>
      <c r="BJ373" s="149"/>
      <c r="BK373" s="45"/>
      <c r="BM373" s="148"/>
      <c r="BN373" s="149"/>
      <c r="BO373" s="45"/>
      <c r="BQ373" s="148"/>
      <c r="BR373" s="149"/>
      <c r="BS373" s="45"/>
      <c r="BU373" s="148"/>
      <c r="BV373" s="149"/>
      <c r="BW373" s="45"/>
      <c r="BY373" s="148"/>
      <c r="BZ373" s="149"/>
      <c r="CA373" s="45"/>
      <c r="CC373" s="148"/>
      <c r="CD373" s="149"/>
      <c r="CE373" s="45"/>
      <c r="CG373" s="148"/>
      <c r="CH373" s="149"/>
      <c r="CI373" s="45"/>
    </row>
    <row r="374">
      <c r="A374" s="147"/>
      <c r="B374" s="140"/>
      <c r="C374" s="57"/>
      <c r="D374" s="140"/>
      <c r="E374" s="138"/>
      <c r="G374" s="52"/>
      <c r="I374" s="138"/>
      <c r="K374" s="52"/>
      <c r="M374" s="138"/>
      <c r="O374" s="52"/>
      <c r="Q374" s="138"/>
      <c r="S374" s="52"/>
      <c r="U374" s="138"/>
      <c r="W374" s="52"/>
      <c r="Y374" s="138"/>
      <c r="AA374" s="52"/>
      <c r="AC374" s="138"/>
      <c r="AE374" s="52"/>
      <c r="AG374" s="138"/>
      <c r="AI374" s="52"/>
      <c r="AK374" s="138"/>
      <c r="AM374" s="52"/>
      <c r="AO374" s="138"/>
      <c r="AQ374" s="52"/>
      <c r="AS374" s="138"/>
      <c r="AU374" s="52"/>
      <c r="AW374" s="138"/>
      <c r="AY374" s="52"/>
      <c r="BA374" s="138"/>
      <c r="BC374" s="52"/>
      <c r="BE374" s="138"/>
      <c r="BG374" s="52"/>
      <c r="BI374" s="138"/>
      <c r="BK374" s="52"/>
      <c r="BM374" s="138"/>
      <c r="BO374" s="52"/>
      <c r="BQ374" s="138"/>
      <c r="BS374" s="52"/>
      <c r="BU374" s="138"/>
      <c r="BW374" s="52"/>
      <c r="BY374" s="138"/>
      <c r="CA374" s="52"/>
      <c r="CC374" s="138"/>
      <c r="CE374" s="52"/>
      <c r="CG374" s="138"/>
      <c r="CI374" s="52"/>
    </row>
    <row r="375">
      <c r="A375" s="147"/>
      <c r="B375" s="173" t="s">
        <v>168</v>
      </c>
      <c r="C375" s="174" t="s">
        <v>165</v>
      </c>
      <c r="D375" s="175" t="s">
        <v>164</v>
      </c>
      <c r="E375" s="140"/>
      <c r="F375" s="56"/>
      <c r="G375" s="57"/>
      <c r="I375" s="140"/>
      <c r="J375" s="56"/>
      <c r="K375" s="57"/>
      <c r="M375" s="140"/>
      <c r="N375" s="56"/>
      <c r="O375" s="57"/>
      <c r="Q375" s="140"/>
      <c r="R375" s="56"/>
      <c r="S375" s="57"/>
      <c r="U375" s="140"/>
      <c r="V375" s="56"/>
      <c r="W375" s="57"/>
      <c r="Y375" s="140"/>
      <c r="Z375" s="56"/>
      <c r="AA375" s="57"/>
      <c r="AC375" s="140"/>
      <c r="AD375" s="56"/>
      <c r="AE375" s="57"/>
      <c r="AG375" s="140"/>
      <c r="AH375" s="56"/>
      <c r="AI375" s="57"/>
      <c r="AK375" s="140"/>
      <c r="AL375" s="56"/>
      <c r="AM375" s="57"/>
      <c r="AO375" s="140"/>
      <c r="AP375" s="56"/>
      <c r="AQ375" s="57"/>
      <c r="AS375" s="140"/>
      <c r="AT375" s="56"/>
      <c r="AU375" s="57"/>
      <c r="AW375" s="140"/>
      <c r="AX375" s="56"/>
      <c r="AY375" s="57"/>
      <c r="BA375" s="140"/>
      <c r="BB375" s="56"/>
      <c r="BC375" s="57"/>
      <c r="BE375" s="140"/>
      <c r="BF375" s="56"/>
      <c r="BG375" s="57"/>
      <c r="BI375" s="140"/>
      <c r="BJ375" s="56"/>
      <c r="BK375" s="57"/>
      <c r="BM375" s="140"/>
      <c r="BN375" s="56"/>
      <c r="BO375" s="57"/>
      <c r="BQ375" s="140"/>
      <c r="BR375" s="56"/>
      <c r="BS375" s="57"/>
      <c r="BU375" s="140"/>
      <c r="BV375" s="56"/>
      <c r="BW375" s="57"/>
      <c r="BY375" s="140"/>
      <c r="BZ375" s="56"/>
      <c r="CA375" s="57"/>
      <c r="CC375" s="140"/>
      <c r="CD375" s="56"/>
      <c r="CE375" s="57"/>
      <c r="CG375" s="140"/>
      <c r="CH375" s="56"/>
      <c r="CI375" s="57"/>
    </row>
    <row r="376">
      <c r="A376" s="139"/>
      <c r="B376" s="153">
        <v>3.0</v>
      </c>
      <c r="C376" s="161" t="s">
        <v>173</v>
      </c>
      <c r="D376" s="155" t="s">
        <v>225</v>
      </c>
      <c r="E376" s="156" t="s">
        <v>171</v>
      </c>
      <c r="F376" s="38"/>
      <c r="G376" s="157"/>
      <c r="I376" s="156" t="s">
        <v>171</v>
      </c>
      <c r="J376" s="38"/>
      <c r="K376" s="157"/>
      <c r="M376" s="156" t="s">
        <v>171</v>
      </c>
      <c r="N376" s="38"/>
      <c r="O376" s="157"/>
      <c r="Q376" s="156" t="s">
        <v>171</v>
      </c>
      <c r="R376" s="38"/>
      <c r="S376" s="157"/>
      <c r="U376" s="156" t="s">
        <v>171</v>
      </c>
      <c r="V376" s="38"/>
      <c r="W376" s="157"/>
      <c r="Y376" s="156" t="s">
        <v>171</v>
      </c>
      <c r="Z376" s="38"/>
      <c r="AA376" s="157"/>
      <c r="AC376" s="156" t="s">
        <v>171</v>
      </c>
      <c r="AD376" s="38"/>
      <c r="AE376" s="157"/>
      <c r="AG376" s="156" t="s">
        <v>171</v>
      </c>
      <c r="AH376" s="38"/>
      <c r="AI376" s="157"/>
      <c r="AK376" s="156" t="s">
        <v>171</v>
      </c>
      <c r="AL376" s="38"/>
      <c r="AM376" s="157"/>
      <c r="AO376" s="156" t="s">
        <v>171</v>
      </c>
      <c r="AP376" s="38"/>
      <c r="AQ376" s="157"/>
      <c r="AS376" s="156" t="s">
        <v>171</v>
      </c>
      <c r="AT376" s="38"/>
      <c r="AU376" s="157"/>
      <c r="AW376" s="156" t="s">
        <v>171</v>
      </c>
      <c r="AX376" s="38"/>
      <c r="AY376" s="157"/>
      <c r="BA376" s="156" t="s">
        <v>171</v>
      </c>
      <c r="BB376" s="38"/>
      <c r="BC376" s="157"/>
      <c r="BE376" s="156" t="s">
        <v>171</v>
      </c>
      <c r="BF376" s="38"/>
      <c r="BG376" s="157"/>
      <c r="BI376" s="156" t="s">
        <v>171</v>
      </c>
      <c r="BJ376" s="38"/>
      <c r="BK376" s="157"/>
      <c r="BM376" s="156" t="s">
        <v>171</v>
      </c>
      <c r="BN376" s="38"/>
      <c r="BO376" s="157"/>
      <c r="BQ376" s="156" t="s">
        <v>171</v>
      </c>
      <c r="BR376" s="38"/>
      <c r="BS376" s="157"/>
      <c r="BU376" s="156" t="s">
        <v>171</v>
      </c>
      <c r="BV376" s="38"/>
      <c r="BW376" s="157"/>
      <c r="BY376" s="156" t="s">
        <v>171</v>
      </c>
      <c r="BZ376" s="38"/>
      <c r="CA376" s="157"/>
      <c r="CC376" s="156" t="s">
        <v>171</v>
      </c>
      <c r="CD376" s="38"/>
      <c r="CE376" s="157"/>
      <c r="CG376" s="156" t="s">
        <v>171</v>
      </c>
      <c r="CH376" s="38"/>
      <c r="CI376" s="157"/>
    </row>
    <row r="377" ht="10.5" customHeight="1">
      <c r="A377" s="166"/>
      <c r="E377" s="137"/>
      <c r="I377" s="137"/>
      <c r="M377" s="137"/>
      <c r="Q377" s="137"/>
      <c r="U377" s="137"/>
      <c r="Y377" s="137"/>
      <c r="AC377" s="137"/>
      <c r="AG377" s="137"/>
      <c r="AK377" s="137"/>
      <c r="AO377" s="137"/>
      <c r="AS377" s="137"/>
      <c r="AW377" s="137"/>
      <c r="BA377" s="137"/>
      <c r="BE377" s="137"/>
      <c r="BI377" s="137"/>
      <c r="BM377" s="137"/>
      <c r="BQ377" s="137"/>
      <c r="BU377" s="137"/>
      <c r="BY377" s="137"/>
      <c r="CC377" s="137"/>
      <c r="CG377" s="137"/>
    </row>
    <row r="378">
      <c r="A378" s="142" t="b">
        <v>0</v>
      </c>
      <c r="B378" s="165" t="s">
        <v>221</v>
      </c>
      <c r="C378" s="45"/>
      <c r="D378" s="172" t="s">
        <v>38</v>
      </c>
      <c r="E378" s="145" t="s">
        <v>167</v>
      </c>
      <c r="F378" s="146"/>
      <c r="G378" s="146"/>
      <c r="I378" s="145" t="s">
        <v>167</v>
      </c>
      <c r="J378" s="146"/>
      <c r="K378" s="146"/>
      <c r="M378" s="145" t="s">
        <v>167</v>
      </c>
      <c r="N378" s="146"/>
      <c r="O378" s="146"/>
      <c r="Q378" s="145" t="s">
        <v>167</v>
      </c>
      <c r="R378" s="146"/>
      <c r="S378" s="146"/>
      <c r="U378" s="145" t="s">
        <v>167</v>
      </c>
      <c r="V378" s="146"/>
      <c r="W378" s="146"/>
      <c r="Y378" s="145" t="s">
        <v>167</v>
      </c>
      <c r="Z378" s="146"/>
      <c r="AA378" s="146"/>
      <c r="AC378" s="145" t="s">
        <v>167</v>
      </c>
      <c r="AD378" s="146"/>
      <c r="AE378" s="146"/>
      <c r="AG378" s="145" t="s">
        <v>167</v>
      </c>
      <c r="AH378" s="146"/>
      <c r="AI378" s="146"/>
      <c r="AK378" s="145" t="s">
        <v>167</v>
      </c>
      <c r="AL378" s="146"/>
      <c r="AM378" s="146"/>
      <c r="AO378" s="145" t="s">
        <v>167</v>
      </c>
      <c r="AP378" s="146"/>
      <c r="AQ378" s="146"/>
      <c r="AS378" s="145" t="s">
        <v>167</v>
      </c>
      <c r="AT378" s="146"/>
      <c r="AU378" s="146"/>
      <c r="AW378" s="145" t="s">
        <v>167</v>
      </c>
      <c r="AX378" s="146"/>
      <c r="AY378" s="146"/>
      <c r="BA378" s="145" t="s">
        <v>167</v>
      </c>
      <c r="BB378" s="146"/>
      <c r="BC378" s="146"/>
      <c r="BE378" s="145" t="s">
        <v>167</v>
      </c>
      <c r="BF378" s="146"/>
      <c r="BG378" s="146"/>
      <c r="BI378" s="145" t="s">
        <v>167</v>
      </c>
      <c r="BJ378" s="146"/>
      <c r="BK378" s="146"/>
      <c r="BM378" s="145" t="s">
        <v>167</v>
      </c>
      <c r="BN378" s="146"/>
      <c r="BO378" s="146"/>
      <c r="BQ378" s="145" t="s">
        <v>167</v>
      </c>
      <c r="BR378" s="146"/>
      <c r="BS378" s="146"/>
      <c r="BU378" s="145" t="s">
        <v>167</v>
      </c>
      <c r="BV378" s="146"/>
      <c r="BW378" s="146"/>
      <c r="BY378" s="145" t="s">
        <v>167</v>
      </c>
      <c r="BZ378" s="146"/>
      <c r="CA378" s="146"/>
      <c r="CC378" s="145" t="s">
        <v>167</v>
      </c>
      <c r="CD378" s="146"/>
      <c r="CE378" s="146"/>
      <c r="CG378" s="145" t="s">
        <v>167</v>
      </c>
      <c r="CH378" s="146"/>
      <c r="CI378" s="146"/>
    </row>
    <row r="379">
      <c r="A379" s="147"/>
      <c r="B379" s="138"/>
      <c r="C379" s="52"/>
      <c r="D379" s="138"/>
      <c r="E379" s="139"/>
      <c r="F379" s="139"/>
      <c r="G379" s="139"/>
      <c r="I379" s="139"/>
      <c r="J379" s="139"/>
      <c r="K379" s="139"/>
      <c r="M379" s="139"/>
      <c r="N379" s="139"/>
      <c r="O379" s="139"/>
      <c r="Q379" s="139"/>
      <c r="R379" s="139"/>
      <c r="S379" s="139"/>
      <c r="U379" s="139"/>
      <c r="V379" s="139"/>
      <c r="W379" s="139"/>
      <c r="Y379" s="139"/>
      <c r="Z379" s="139"/>
      <c r="AA379" s="139"/>
      <c r="AC379" s="139"/>
      <c r="AD379" s="139"/>
      <c r="AE379" s="139"/>
      <c r="AG379" s="139"/>
      <c r="AH379" s="139"/>
      <c r="AI379" s="139"/>
      <c r="AK379" s="139"/>
      <c r="AL379" s="139"/>
      <c r="AM379" s="139"/>
      <c r="AO379" s="139"/>
      <c r="AP379" s="139"/>
      <c r="AQ379" s="139"/>
      <c r="AS379" s="139"/>
      <c r="AT379" s="139"/>
      <c r="AU379" s="139"/>
      <c r="AW379" s="139"/>
      <c r="AX379" s="139"/>
      <c r="AY379" s="139"/>
      <c r="BA379" s="139"/>
      <c r="BB379" s="139"/>
      <c r="BC379" s="139"/>
      <c r="BE379" s="139"/>
      <c r="BF379" s="139"/>
      <c r="BG379" s="139"/>
      <c r="BI379" s="139"/>
      <c r="BJ379" s="139"/>
      <c r="BK379" s="139"/>
      <c r="BM379" s="139"/>
      <c r="BN379" s="139"/>
      <c r="BO379" s="139"/>
      <c r="BQ379" s="139"/>
      <c r="BR379" s="139"/>
      <c r="BS379" s="139"/>
      <c r="BU379" s="139"/>
      <c r="BV379" s="139"/>
      <c r="BW379" s="139"/>
      <c r="BY379" s="139"/>
      <c r="BZ379" s="139"/>
      <c r="CA379" s="139"/>
      <c r="CC379" s="139"/>
      <c r="CD379" s="139"/>
      <c r="CE379" s="139"/>
      <c r="CG379" s="139"/>
      <c r="CH379" s="139"/>
      <c r="CI379" s="139"/>
    </row>
    <row r="380">
      <c r="A380" s="147"/>
      <c r="B380" s="138"/>
      <c r="C380" s="52"/>
      <c r="D380" s="138"/>
      <c r="E380" s="148"/>
      <c r="F380" s="149"/>
      <c r="G380" s="45"/>
      <c r="I380" s="148"/>
      <c r="J380" s="149"/>
      <c r="K380" s="45"/>
      <c r="M380" s="148"/>
      <c r="N380" s="149"/>
      <c r="O380" s="45"/>
      <c r="Q380" s="148"/>
      <c r="R380" s="149"/>
      <c r="S380" s="45"/>
      <c r="U380" s="148"/>
      <c r="V380" s="149"/>
      <c r="W380" s="45"/>
      <c r="Y380" s="148"/>
      <c r="Z380" s="149"/>
      <c r="AA380" s="45"/>
      <c r="AC380" s="148"/>
      <c r="AD380" s="149"/>
      <c r="AE380" s="45"/>
      <c r="AG380" s="148"/>
      <c r="AH380" s="149"/>
      <c r="AI380" s="45"/>
      <c r="AK380" s="148"/>
      <c r="AL380" s="149"/>
      <c r="AM380" s="45"/>
      <c r="AO380" s="148"/>
      <c r="AP380" s="149"/>
      <c r="AQ380" s="45"/>
      <c r="AS380" s="148"/>
      <c r="AT380" s="149"/>
      <c r="AU380" s="45"/>
      <c r="AW380" s="148"/>
      <c r="AX380" s="149"/>
      <c r="AY380" s="45"/>
      <c r="BA380" s="148"/>
      <c r="BB380" s="149"/>
      <c r="BC380" s="45"/>
      <c r="BE380" s="148"/>
      <c r="BF380" s="149"/>
      <c r="BG380" s="45"/>
      <c r="BI380" s="148"/>
      <c r="BJ380" s="149"/>
      <c r="BK380" s="45"/>
      <c r="BM380" s="148"/>
      <c r="BN380" s="149"/>
      <c r="BO380" s="45"/>
      <c r="BQ380" s="148"/>
      <c r="BR380" s="149"/>
      <c r="BS380" s="45"/>
      <c r="BU380" s="148"/>
      <c r="BV380" s="149"/>
      <c r="BW380" s="45"/>
      <c r="BY380" s="148"/>
      <c r="BZ380" s="149"/>
      <c r="CA380" s="45"/>
      <c r="CC380" s="148"/>
      <c r="CD380" s="149"/>
      <c r="CE380" s="45"/>
      <c r="CG380" s="148"/>
      <c r="CH380" s="149"/>
      <c r="CI380" s="45"/>
    </row>
    <row r="381">
      <c r="A381" s="147"/>
      <c r="B381" s="140"/>
      <c r="C381" s="57"/>
      <c r="D381" s="140"/>
      <c r="E381" s="138"/>
      <c r="G381" s="52"/>
      <c r="I381" s="138"/>
      <c r="K381" s="52"/>
      <c r="M381" s="138"/>
      <c r="O381" s="52"/>
      <c r="Q381" s="138"/>
      <c r="S381" s="52"/>
      <c r="U381" s="138"/>
      <c r="W381" s="52"/>
      <c r="Y381" s="138"/>
      <c r="AA381" s="52"/>
      <c r="AC381" s="138"/>
      <c r="AE381" s="52"/>
      <c r="AG381" s="138"/>
      <c r="AI381" s="52"/>
      <c r="AK381" s="138"/>
      <c r="AM381" s="52"/>
      <c r="AO381" s="138"/>
      <c r="AQ381" s="52"/>
      <c r="AS381" s="138"/>
      <c r="AU381" s="52"/>
      <c r="AW381" s="138"/>
      <c r="AY381" s="52"/>
      <c r="BA381" s="138"/>
      <c r="BC381" s="52"/>
      <c r="BE381" s="138"/>
      <c r="BG381" s="52"/>
      <c r="BI381" s="138"/>
      <c r="BK381" s="52"/>
      <c r="BM381" s="138"/>
      <c r="BO381" s="52"/>
      <c r="BQ381" s="138"/>
      <c r="BS381" s="52"/>
      <c r="BU381" s="138"/>
      <c r="BW381" s="52"/>
      <c r="BY381" s="138"/>
      <c r="CA381" s="52"/>
      <c r="CC381" s="138"/>
      <c r="CE381" s="52"/>
      <c r="CG381" s="138"/>
      <c r="CI381" s="52"/>
    </row>
    <row r="382">
      <c r="A382" s="147"/>
      <c r="B382" s="173" t="s">
        <v>168</v>
      </c>
      <c r="C382" s="174" t="s">
        <v>165</v>
      </c>
      <c r="D382" s="175" t="s">
        <v>164</v>
      </c>
      <c r="E382" s="140"/>
      <c r="F382" s="56"/>
      <c r="G382" s="57"/>
      <c r="I382" s="140"/>
      <c r="J382" s="56"/>
      <c r="K382" s="57"/>
      <c r="M382" s="140"/>
      <c r="N382" s="56"/>
      <c r="O382" s="57"/>
      <c r="Q382" s="140"/>
      <c r="R382" s="56"/>
      <c r="S382" s="57"/>
      <c r="U382" s="140"/>
      <c r="V382" s="56"/>
      <c r="W382" s="57"/>
      <c r="Y382" s="140"/>
      <c r="Z382" s="56"/>
      <c r="AA382" s="57"/>
      <c r="AC382" s="140"/>
      <c r="AD382" s="56"/>
      <c r="AE382" s="57"/>
      <c r="AG382" s="140"/>
      <c r="AH382" s="56"/>
      <c r="AI382" s="57"/>
      <c r="AK382" s="140"/>
      <c r="AL382" s="56"/>
      <c r="AM382" s="57"/>
      <c r="AO382" s="140"/>
      <c r="AP382" s="56"/>
      <c r="AQ382" s="57"/>
      <c r="AS382" s="140"/>
      <c r="AT382" s="56"/>
      <c r="AU382" s="57"/>
      <c r="AW382" s="140"/>
      <c r="AX382" s="56"/>
      <c r="AY382" s="57"/>
      <c r="BA382" s="140"/>
      <c r="BB382" s="56"/>
      <c r="BC382" s="57"/>
      <c r="BE382" s="140"/>
      <c r="BF382" s="56"/>
      <c r="BG382" s="57"/>
      <c r="BI382" s="140"/>
      <c r="BJ382" s="56"/>
      <c r="BK382" s="57"/>
      <c r="BM382" s="140"/>
      <c r="BN382" s="56"/>
      <c r="BO382" s="57"/>
      <c r="BQ382" s="140"/>
      <c r="BR382" s="56"/>
      <c r="BS382" s="57"/>
      <c r="BU382" s="140"/>
      <c r="BV382" s="56"/>
      <c r="BW382" s="57"/>
      <c r="BY382" s="140"/>
      <c r="BZ382" s="56"/>
      <c r="CA382" s="57"/>
      <c r="CC382" s="140"/>
      <c r="CD382" s="56"/>
      <c r="CE382" s="57"/>
      <c r="CG382" s="140"/>
      <c r="CH382" s="56"/>
      <c r="CI382" s="57"/>
    </row>
    <row r="383">
      <c r="A383" s="139"/>
      <c r="B383" s="153">
        <v>3.0</v>
      </c>
      <c r="C383" s="161" t="s">
        <v>173</v>
      </c>
      <c r="D383" s="155" t="s">
        <v>222</v>
      </c>
      <c r="E383" s="156" t="s">
        <v>171</v>
      </c>
      <c r="F383" s="38"/>
      <c r="G383" s="157"/>
      <c r="I383" s="156" t="s">
        <v>171</v>
      </c>
      <c r="J383" s="38"/>
      <c r="K383" s="157"/>
      <c r="M383" s="156" t="s">
        <v>171</v>
      </c>
      <c r="N383" s="38"/>
      <c r="O383" s="157"/>
      <c r="Q383" s="156" t="s">
        <v>171</v>
      </c>
      <c r="R383" s="38"/>
      <c r="S383" s="157"/>
      <c r="U383" s="156" t="s">
        <v>171</v>
      </c>
      <c r="V383" s="38"/>
      <c r="W383" s="157"/>
      <c r="Y383" s="156" t="s">
        <v>171</v>
      </c>
      <c r="Z383" s="38"/>
      <c r="AA383" s="157"/>
      <c r="AC383" s="156" t="s">
        <v>171</v>
      </c>
      <c r="AD383" s="38"/>
      <c r="AE383" s="157"/>
      <c r="AG383" s="156" t="s">
        <v>171</v>
      </c>
      <c r="AH383" s="38"/>
      <c r="AI383" s="157"/>
      <c r="AK383" s="156" t="s">
        <v>171</v>
      </c>
      <c r="AL383" s="38"/>
      <c r="AM383" s="157"/>
      <c r="AO383" s="156" t="s">
        <v>171</v>
      </c>
      <c r="AP383" s="38"/>
      <c r="AQ383" s="157"/>
      <c r="AS383" s="156" t="s">
        <v>171</v>
      </c>
      <c r="AT383" s="38"/>
      <c r="AU383" s="157"/>
      <c r="AW383" s="156" t="s">
        <v>171</v>
      </c>
      <c r="AX383" s="38"/>
      <c r="AY383" s="157"/>
      <c r="BA383" s="156" t="s">
        <v>171</v>
      </c>
      <c r="BB383" s="38"/>
      <c r="BC383" s="157"/>
      <c r="BE383" s="156" t="s">
        <v>171</v>
      </c>
      <c r="BF383" s="38"/>
      <c r="BG383" s="157"/>
      <c r="BI383" s="156" t="s">
        <v>171</v>
      </c>
      <c r="BJ383" s="38"/>
      <c r="BK383" s="157"/>
      <c r="BM383" s="156" t="s">
        <v>171</v>
      </c>
      <c r="BN383" s="38"/>
      <c r="BO383" s="157"/>
      <c r="BQ383" s="156" t="s">
        <v>171</v>
      </c>
      <c r="BR383" s="38"/>
      <c r="BS383" s="157"/>
      <c r="BU383" s="156" t="s">
        <v>171</v>
      </c>
      <c r="BV383" s="38"/>
      <c r="BW383" s="157"/>
      <c r="BY383" s="156" t="s">
        <v>171</v>
      </c>
      <c r="BZ383" s="38"/>
      <c r="CA383" s="157"/>
      <c r="CC383" s="156" t="s">
        <v>171</v>
      </c>
      <c r="CD383" s="38"/>
      <c r="CE383" s="157"/>
      <c r="CG383" s="156" t="s">
        <v>171</v>
      </c>
      <c r="CH383" s="38"/>
      <c r="CI383" s="157"/>
    </row>
    <row r="384" ht="9.0" customHeight="1">
      <c r="A384" s="166"/>
      <c r="E384" s="137"/>
      <c r="I384" s="137"/>
      <c r="M384" s="137"/>
      <c r="Q384" s="137"/>
      <c r="U384" s="137"/>
      <c r="Y384" s="137"/>
      <c r="AC384" s="137"/>
      <c r="AG384" s="137"/>
      <c r="AK384" s="137"/>
      <c r="AO384" s="137"/>
      <c r="AS384" s="137"/>
      <c r="AW384" s="137"/>
      <c r="BA384" s="137"/>
      <c r="BE384" s="137"/>
      <c r="BI384" s="137"/>
      <c r="BM384" s="137"/>
      <c r="BQ384" s="137"/>
      <c r="BU384" s="137"/>
      <c r="BY384" s="137"/>
      <c r="CC384" s="137"/>
      <c r="CG384" s="137"/>
    </row>
    <row r="385">
      <c r="A385" s="142" t="b">
        <v>0</v>
      </c>
      <c r="B385" s="165" t="s">
        <v>240</v>
      </c>
      <c r="C385" s="45"/>
      <c r="D385" s="172" t="s">
        <v>38</v>
      </c>
      <c r="E385" s="145" t="s">
        <v>167</v>
      </c>
      <c r="F385" s="146"/>
      <c r="G385" s="146"/>
      <c r="I385" s="145" t="s">
        <v>167</v>
      </c>
      <c r="J385" s="146"/>
      <c r="K385" s="146"/>
      <c r="M385" s="145" t="s">
        <v>167</v>
      </c>
      <c r="N385" s="146"/>
      <c r="O385" s="146"/>
      <c r="Q385" s="145" t="s">
        <v>167</v>
      </c>
      <c r="R385" s="146"/>
      <c r="S385" s="146"/>
      <c r="U385" s="145" t="s">
        <v>167</v>
      </c>
      <c r="V385" s="146"/>
      <c r="W385" s="146"/>
      <c r="Y385" s="145" t="s">
        <v>167</v>
      </c>
      <c r="Z385" s="146"/>
      <c r="AA385" s="146"/>
      <c r="AC385" s="145" t="s">
        <v>167</v>
      </c>
      <c r="AD385" s="146"/>
      <c r="AE385" s="146"/>
      <c r="AG385" s="145" t="s">
        <v>167</v>
      </c>
      <c r="AH385" s="146"/>
      <c r="AI385" s="146"/>
      <c r="AK385" s="145" t="s">
        <v>167</v>
      </c>
      <c r="AL385" s="146"/>
      <c r="AM385" s="146"/>
      <c r="AO385" s="145" t="s">
        <v>167</v>
      </c>
      <c r="AP385" s="146"/>
      <c r="AQ385" s="146"/>
      <c r="AS385" s="145" t="s">
        <v>167</v>
      </c>
      <c r="AT385" s="146"/>
      <c r="AU385" s="146"/>
      <c r="AW385" s="145" t="s">
        <v>167</v>
      </c>
      <c r="AX385" s="146"/>
      <c r="AY385" s="146"/>
      <c r="BA385" s="145" t="s">
        <v>167</v>
      </c>
      <c r="BB385" s="146"/>
      <c r="BC385" s="146"/>
      <c r="BE385" s="145" t="s">
        <v>167</v>
      </c>
      <c r="BF385" s="146"/>
      <c r="BG385" s="146"/>
      <c r="BI385" s="145" t="s">
        <v>167</v>
      </c>
      <c r="BJ385" s="146"/>
      <c r="BK385" s="146"/>
      <c r="BM385" s="145" t="s">
        <v>167</v>
      </c>
      <c r="BN385" s="146"/>
      <c r="BO385" s="146"/>
      <c r="BQ385" s="145" t="s">
        <v>167</v>
      </c>
      <c r="BR385" s="146"/>
      <c r="BS385" s="146"/>
      <c r="BU385" s="145" t="s">
        <v>167</v>
      </c>
      <c r="BV385" s="146"/>
      <c r="BW385" s="146"/>
      <c r="BY385" s="145" t="s">
        <v>167</v>
      </c>
      <c r="BZ385" s="146"/>
      <c r="CA385" s="146"/>
      <c r="CC385" s="145" t="s">
        <v>167</v>
      </c>
      <c r="CD385" s="146"/>
      <c r="CE385" s="146"/>
      <c r="CG385" s="145" t="s">
        <v>167</v>
      </c>
      <c r="CH385" s="146"/>
      <c r="CI385" s="146"/>
    </row>
    <row r="386">
      <c r="A386" s="147"/>
      <c r="B386" s="138"/>
      <c r="C386" s="52"/>
      <c r="D386" s="138"/>
      <c r="E386" s="139"/>
      <c r="F386" s="139"/>
      <c r="G386" s="139"/>
      <c r="I386" s="139"/>
      <c r="J386" s="139"/>
      <c r="K386" s="139"/>
      <c r="M386" s="139"/>
      <c r="N386" s="139"/>
      <c r="O386" s="139"/>
      <c r="Q386" s="139"/>
      <c r="R386" s="139"/>
      <c r="S386" s="139"/>
      <c r="U386" s="139"/>
      <c r="V386" s="139"/>
      <c r="W386" s="139"/>
      <c r="Y386" s="139"/>
      <c r="Z386" s="139"/>
      <c r="AA386" s="139"/>
      <c r="AC386" s="139"/>
      <c r="AD386" s="139"/>
      <c r="AE386" s="139"/>
      <c r="AG386" s="139"/>
      <c r="AH386" s="139"/>
      <c r="AI386" s="139"/>
      <c r="AK386" s="139"/>
      <c r="AL386" s="139"/>
      <c r="AM386" s="139"/>
      <c r="AO386" s="139"/>
      <c r="AP386" s="139"/>
      <c r="AQ386" s="139"/>
      <c r="AS386" s="139"/>
      <c r="AT386" s="139"/>
      <c r="AU386" s="139"/>
      <c r="AW386" s="139"/>
      <c r="AX386" s="139"/>
      <c r="AY386" s="139"/>
      <c r="BA386" s="139"/>
      <c r="BB386" s="139"/>
      <c r="BC386" s="139"/>
      <c r="BE386" s="139"/>
      <c r="BF386" s="139"/>
      <c r="BG386" s="139"/>
      <c r="BI386" s="139"/>
      <c r="BJ386" s="139"/>
      <c r="BK386" s="139"/>
      <c r="BM386" s="139"/>
      <c r="BN386" s="139"/>
      <c r="BO386" s="139"/>
      <c r="BQ386" s="139"/>
      <c r="BR386" s="139"/>
      <c r="BS386" s="139"/>
      <c r="BU386" s="139"/>
      <c r="BV386" s="139"/>
      <c r="BW386" s="139"/>
      <c r="BY386" s="139"/>
      <c r="BZ386" s="139"/>
      <c r="CA386" s="139"/>
      <c r="CC386" s="139"/>
      <c r="CD386" s="139"/>
      <c r="CE386" s="139"/>
      <c r="CG386" s="139"/>
      <c r="CH386" s="139"/>
      <c r="CI386" s="139"/>
    </row>
    <row r="387">
      <c r="A387" s="147"/>
      <c r="B387" s="138"/>
      <c r="C387" s="52"/>
      <c r="D387" s="138"/>
      <c r="E387" s="148"/>
      <c r="F387" s="149"/>
      <c r="G387" s="45"/>
      <c r="I387" s="148"/>
      <c r="J387" s="149"/>
      <c r="K387" s="45"/>
      <c r="M387" s="148"/>
      <c r="N387" s="149"/>
      <c r="O387" s="45"/>
      <c r="Q387" s="148"/>
      <c r="R387" s="149"/>
      <c r="S387" s="45"/>
      <c r="U387" s="148"/>
      <c r="V387" s="149"/>
      <c r="W387" s="45"/>
      <c r="Y387" s="148"/>
      <c r="Z387" s="149"/>
      <c r="AA387" s="45"/>
      <c r="AC387" s="148"/>
      <c r="AD387" s="149"/>
      <c r="AE387" s="45"/>
      <c r="AG387" s="148"/>
      <c r="AH387" s="149"/>
      <c r="AI387" s="45"/>
      <c r="AK387" s="148"/>
      <c r="AL387" s="149"/>
      <c r="AM387" s="45"/>
      <c r="AO387" s="148"/>
      <c r="AP387" s="149"/>
      <c r="AQ387" s="45"/>
      <c r="AS387" s="148"/>
      <c r="AT387" s="149"/>
      <c r="AU387" s="45"/>
      <c r="AW387" s="148"/>
      <c r="AX387" s="149"/>
      <c r="AY387" s="45"/>
      <c r="BA387" s="148"/>
      <c r="BB387" s="149"/>
      <c r="BC387" s="45"/>
      <c r="BE387" s="148"/>
      <c r="BF387" s="149"/>
      <c r="BG387" s="45"/>
      <c r="BI387" s="148"/>
      <c r="BJ387" s="149"/>
      <c r="BK387" s="45"/>
      <c r="BM387" s="148"/>
      <c r="BN387" s="149"/>
      <c r="BO387" s="45"/>
      <c r="BQ387" s="148"/>
      <c r="BR387" s="149"/>
      <c r="BS387" s="45"/>
      <c r="BU387" s="148"/>
      <c r="BV387" s="149"/>
      <c r="BW387" s="45"/>
      <c r="BY387" s="148"/>
      <c r="BZ387" s="149"/>
      <c r="CA387" s="45"/>
      <c r="CC387" s="148"/>
      <c r="CD387" s="149"/>
      <c r="CE387" s="45"/>
      <c r="CG387" s="148"/>
      <c r="CH387" s="149"/>
      <c r="CI387" s="45"/>
    </row>
    <row r="388">
      <c r="A388" s="147"/>
      <c r="B388" s="140"/>
      <c r="C388" s="57"/>
      <c r="D388" s="140"/>
      <c r="E388" s="138"/>
      <c r="G388" s="52"/>
      <c r="I388" s="138"/>
      <c r="K388" s="52"/>
      <c r="M388" s="138"/>
      <c r="O388" s="52"/>
      <c r="Q388" s="138"/>
      <c r="S388" s="52"/>
      <c r="U388" s="138"/>
      <c r="W388" s="52"/>
      <c r="Y388" s="138"/>
      <c r="AA388" s="52"/>
      <c r="AC388" s="138"/>
      <c r="AE388" s="52"/>
      <c r="AG388" s="138"/>
      <c r="AI388" s="52"/>
      <c r="AK388" s="138"/>
      <c r="AM388" s="52"/>
      <c r="AO388" s="138"/>
      <c r="AQ388" s="52"/>
      <c r="AS388" s="138"/>
      <c r="AU388" s="52"/>
      <c r="AW388" s="138"/>
      <c r="AY388" s="52"/>
      <c r="BA388" s="138"/>
      <c r="BC388" s="52"/>
      <c r="BE388" s="138"/>
      <c r="BG388" s="52"/>
      <c r="BI388" s="138"/>
      <c r="BK388" s="52"/>
      <c r="BM388" s="138"/>
      <c r="BO388" s="52"/>
      <c r="BQ388" s="138"/>
      <c r="BS388" s="52"/>
      <c r="BU388" s="138"/>
      <c r="BW388" s="52"/>
      <c r="BY388" s="138"/>
      <c r="CA388" s="52"/>
      <c r="CC388" s="138"/>
      <c r="CE388" s="52"/>
      <c r="CG388" s="138"/>
      <c r="CI388" s="52"/>
    </row>
    <row r="389">
      <c r="A389" s="147"/>
      <c r="B389" s="173" t="s">
        <v>168</v>
      </c>
      <c r="C389" s="174" t="s">
        <v>165</v>
      </c>
      <c r="D389" s="175" t="s">
        <v>164</v>
      </c>
      <c r="E389" s="140"/>
      <c r="F389" s="56"/>
      <c r="G389" s="57"/>
      <c r="I389" s="140"/>
      <c r="J389" s="56"/>
      <c r="K389" s="57"/>
      <c r="M389" s="140"/>
      <c r="N389" s="56"/>
      <c r="O389" s="57"/>
      <c r="Q389" s="140"/>
      <c r="R389" s="56"/>
      <c r="S389" s="57"/>
      <c r="U389" s="140"/>
      <c r="V389" s="56"/>
      <c r="W389" s="57"/>
      <c r="Y389" s="140"/>
      <c r="Z389" s="56"/>
      <c r="AA389" s="57"/>
      <c r="AC389" s="140"/>
      <c r="AD389" s="56"/>
      <c r="AE389" s="57"/>
      <c r="AG389" s="140"/>
      <c r="AH389" s="56"/>
      <c r="AI389" s="57"/>
      <c r="AK389" s="140"/>
      <c r="AL389" s="56"/>
      <c r="AM389" s="57"/>
      <c r="AO389" s="140"/>
      <c r="AP389" s="56"/>
      <c r="AQ389" s="57"/>
      <c r="AS389" s="140"/>
      <c r="AT389" s="56"/>
      <c r="AU389" s="57"/>
      <c r="AW389" s="140"/>
      <c r="AX389" s="56"/>
      <c r="AY389" s="57"/>
      <c r="BA389" s="140"/>
      <c r="BB389" s="56"/>
      <c r="BC389" s="57"/>
      <c r="BE389" s="140"/>
      <c r="BF389" s="56"/>
      <c r="BG389" s="57"/>
      <c r="BI389" s="140"/>
      <c r="BJ389" s="56"/>
      <c r="BK389" s="57"/>
      <c r="BM389" s="140"/>
      <c r="BN389" s="56"/>
      <c r="BO389" s="57"/>
      <c r="BQ389" s="140"/>
      <c r="BR389" s="56"/>
      <c r="BS389" s="57"/>
      <c r="BU389" s="140"/>
      <c r="BV389" s="56"/>
      <c r="BW389" s="57"/>
      <c r="BY389" s="140"/>
      <c r="BZ389" s="56"/>
      <c r="CA389" s="57"/>
      <c r="CC389" s="140"/>
      <c r="CD389" s="56"/>
      <c r="CE389" s="57"/>
      <c r="CG389" s="140"/>
      <c r="CH389" s="56"/>
      <c r="CI389" s="57"/>
    </row>
    <row r="390">
      <c r="A390" s="139"/>
      <c r="B390" s="153">
        <v>3.0</v>
      </c>
      <c r="C390" s="161" t="s">
        <v>218</v>
      </c>
      <c r="D390" s="155" t="s">
        <v>174</v>
      </c>
      <c r="E390" s="156" t="s">
        <v>171</v>
      </c>
      <c r="F390" s="38"/>
      <c r="G390" s="157"/>
      <c r="I390" s="156" t="s">
        <v>171</v>
      </c>
      <c r="J390" s="38"/>
      <c r="K390" s="157"/>
      <c r="M390" s="156" t="s">
        <v>171</v>
      </c>
      <c r="N390" s="38"/>
      <c r="O390" s="157"/>
      <c r="Q390" s="156" t="s">
        <v>171</v>
      </c>
      <c r="R390" s="38"/>
      <c r="S390" s="157"/>
      <c r="U390" s="156" t="s">
        <v>171</v>
      </c>
      <c r="V390" s="38"/>
      <c r="W390" s="157"/>
      <c r="Y390" s="156" t="s">
        <v>171</v>
      </c>
      <c r="Z390" s="38"/>
      <c r="AA390" s="157"/>
      <c r="AC390" s="156" t="s">
        <v>171</v>
      </c>
      <c r="AD390" s="38"/>
      <c r="AE390" s="157"/>
      <c r="AG390" s="156" t="s">
        <v>171</v>
      </c>
      <c r="AH390" s="38"/>
      <c r="AI390" s="157"/>
      <c r="AK390" s="156" t="s">
        <v>171</v>
      </c>
      <c r="AL390" s="38"/>
      <c r="AM390" s="157"/>
      <c r="AO390" s="156" t="s">
        <v>171</v>
      </c>
      <c r="AP390" s="38"/>
      <c r="AQ390" s="157"/>
      <c r="AS390" s="156" t="s">
        <v>171</v>
      </c>
      <c r="AT390" s="38"/>
      <c r="AU390" s="157"/>
      <c r="AW390" s="156" t="s">
        <v>171</v>
      </c>
      <c r="AX390" s="38"/>
      <c r="AY390" s="157"/>
      <c r="BA390" s="156" t="s">
        <v>171</v>
      </c>
      <c r="BB390" s="38"/>
      <c r="BC390" s="157"/>
      <c r="BE390" s="156" t="s">
        <v>171</v>
      </c>
      <c r="BF390" s="38"/>
      <c r="BG390" s="157"/>
      <c r="BI390" s="156" t="s">
        <v>171</v>
      </c>
      <c r="BJ390" s="38"/>
      <c r="BK390" s="157"/>
      <c r="BM390" s="156" t="s">
        <v>171</v>
      </c>
      <c r="BN390" s="38"/>
      <c r="BO390" s="157"/>
      <c r="BQ390" s="156" t="s">
        <v>171</v>
      </c>
      <c r="BR390" s="38"/>
      <c r="BS390" s="157"/>
      <c r="BU390" s="156" t="s">
        <v>171</v>
      </c>
      <c r="BV390" s="38"/>
      <c r="BW390" s="157"/>
      <c r="BY390" s="156" t="s">
        <v>171</v>
      </c>
      <c r="BZ390" s="38"/>
      <c r="CA390" s="157"/>
      <c r="CC390" s="156" t="s">
        <v>171</v>
      </c>
      <c r="CD390" s="38"/>
      <c r="CE390" s="157"/>
      <c r="CG390" s="156" t="s">
        <v>171</v>
      </c>
      <c r="CH390" s="38"/>
      <c r="CI390" s="157"/>
    </row>
    <row r="391" ht="9.0" customHeight="1">
      <c r="A391" s="166"/>
      <c r="E391" s="137"/>
      <c r="I391" s="137"/>
      <c r="M391" s="137"/>
      <c r="Q391" s="137"/>
      <c r="U391" s="137"/>
      <c r="Y391" s="137"/>
      <c r="AC391" s="137"/>
      <c r="AG391" s="137"/>
      <c r="AK391" s="137"/>
      <c r="AO391" s="137"/>
      <c r="AS391" s="137"/>
      <c r="AW391" s="137"/>
      <c r="BA391" s="137"/>
      <c r="BE391" s="137"/>
      <c r="BI391" s="137"/>
      <c r="BM391" s="137"/>
      <c r="BQ391" s="137"/>
      <c r="BU391" s="137"/>
      <c r="BY391" s="137"/>
      <c r="CC391" s="137"/>
      <c r="CG391" s="137"/>
    </row>
    <row r="392">
      <c r="A392" s="142" t="b">
        <v>0</v>
      </c>
      <c r="B392" s="143" t="s">
        <v>241</v>
      </c>
      <c r="C392" s="45"/>
      <c r="D392" s="172" t="s">
        <v>38</v>
      </c>
      <c r="E392" s="145" t="s">
        <v>167</v>
      </c>
      <c r="F392" s="146"/>
      <c r="G392" s="146"/>
      <c r="I392" s="145" t="s">
        <v>167</v>
      </c>
      <c r="J392" s="146"/>
      <c r="K392" s="146"/>
      <c r="M392" s="145" t="s">
        <v>167</v>
      </c>
      <c r="N392" s="146"/>
      <c r="O392" s="146"/>
      <c r="Q392" s="145" t="s">
        <v>167</v>
      </c>
      <c r="R392" s="146"/>
      <c r="S392" s="146"/>
      <c r="U392" s="145" t="s">
        <v>167</v>
      </c>
      <c r="V392" s="146"/>
      <c r="W392" s="146"/>
      <c r="Y392" s="145" t="s">
        <v>167</v>
      </c>
      <c r="Z392" s="146"/>
      <c r="AA392" s="146"/>
      <c r="AC392" s="145" t="s">
        <v>167</v>
      </c>
      <c r="AD392" s="146"/>
      <c r="AE392" s="146"/>
      <c r="AG392" s="145" t="s">
        <v>167</v>
      </c>
      <c r="AH392" s="146"/>
      <c r="AI392" s="146"/>
      <c r="AK392" s="145" t="s">
        <v>167</v>
      </c>
      <c r="AL392" s="146"/>
      <c r="AM392" s="146"/>
      <c r="AO392" s="145" t="s">
        <v>167</v>
      </c>
      <c r="AP392" s="146"/>
      <c r="AQ392" s="146"/>
      <c r="AS392" s="145" t="s">
        <v>167</v>
      </c>
      <c r="AT392" s="146"/>
      <c r="AU392" s="146"/>
      <c r="AW392" s="145" t="s">
        <v>167</v>
      </c>
      <c r="AX392" s="146"/>
      <c r="AY392" s="146"/>
      <c r="BA392" s="145" t="s">
        <v>167</v>
      </c>
      <c r="BB392" s="146"/>
      <c r="BC392" s="146"/>
      <c r="BE392" s="145" t="s">
        <v>167</v>
      </c>
      <c r="BF392" s="146"/>
      <c r="BG392" s="146"/>
      <c r="BI392" s="145" t="s">
        <v>167</v>
      </c>
      <c r="BJ392" s="146"/>
      <c r="BK392" s="146"/>
      <c r="BM392" s="145" t="s">
        <v>167</v>
      </c>
      <c r="BN392" s="146"/>
      <c r="BO392" s="146"/>
      <c r="BQ392" s="145" t="s">
        <v>167</v>
      </c>
      <c r="BR392" s="146"/>
      <c r="BS392" s="146"/>
      <c r="BU392" s="145" t="s">
        <v>167</v>
      </c>
      <c r="BV392" s="146"/>
      <c r="BW392" s="146"/>
      <c r="BY392" s="145" t="s">
        <v>167</v>
      </c>
      <c r="BZ392" s="146"/>
      <c r="CA392" s="146"/>
      <c r="CC392" s="145" t="s">
        <v>167</v>
      </c>
      <c r="CD392" s="146"/>
      <c r="CE392" s="146"/>
      <c r="CG392" s="145" t="s">
        <v>167</v>
      </c>
      <c r="CH392" s="146"/>
      <c r="CI392" s="146"/>
    </row>
    <row r="393">
      <c r="A393" s="147"/>
      <c r="B393" s="138"/>
      <c r="C393" s="52"/>
      <c r="D393" s="138"/>
      <c r="E393" s="139"/>
      <c r="F393" s="139"/>
      <c r="G393" s="139"/>
      <c r="I393" s="139"/>
      <c r="J393" s="139"/>
      <c r="K393" s="139"/>
      <c r="M393" s="139"/>
      <c r="N393" s="139"/>
      <c r="O393" s="139"/>
      <c r="Q393" s="139"/>
      <c r="R393" s="139"/>
      <c r="S393" s="139"/>
      <c r="U393" s="139"/>
      <c r="V393" s="139"/>
      <c r="W393" s="139"/>
      <c r="Y393" s="139"/>
      <c r="Z393" s="139"/>
      <c r="AA393" s="139"/>
      <c r="AC393" s="139"/>
      <c r="AD393" s="139"/>
      <c r="AE393" s="139"/>
      <c r="AG393" s="139"/>
      <c r="AH393" s="139"/>
      <c r="AI393" s="139"/>
      <c r="AK393" s="139"/>
      <c r="AL393" s="139"/>
      <c r="AM393" s="139"/>
      <c r="AO393" s="139"/>
      <c r="AP393" s="139"/>
      <c r="AQ393" s="139"/>
      <c r="AS393" s="139"/>
      <c r="AT393" s="139"/>
      <c r="AU393" s="139"/>
      <c r="AW393" s="139"/>
      <c r="AX393" s="139"/>
      <c r="AY393" s="139"/>
      <c r="BA393" s="139"/>
      <c r="BB393" s="139"/>
      <c r="BC393" s="139"/>
      <c r="BE393" s="139"/>
      <c r="BF393" s="139"/>
      <c r="BG393" s="139"/>
      <c r="BI393" s="139"/>
      <c r="BJ393" s="139"/>
      <c r="BK393" s="139"/>
      <c r="BM393" s="139"/>
      <c r="BN393" s="139"/>
      <c r="BO393" s="139"/>
      <c r="BQ393" s="139"/>
      <c r="BR393" s="139"/>
      <c r="BS393" s="139"/>
      <c r="BU393" s="139"/>
      <c r="BV393" s="139"/>
      <c r="BW393" s="139"/>
      <c r="BY393" s="139"/>
      <c r="BZ393" s="139"/>
      <c r="CA393" s="139"/>
      <c r="CC393" s="139"/>
      <c r="CD393" s="139"/>
      <c r="CE393" s="139"/>
      <c r="CG393" s="139"/>
      <c r="CH393" s="139"/>
      <c r="CI393" s="139"/>
    </row>
    <row r="394">
      <c r="A394" s="147"/>
      <c r="B394" s="138"/>
      <c r="C394" s="52"/>
      <c r="D394" s="138"/>
      <c r="E394" s="148"/>
      <c r="F394" s="149"/>
      <c r="G394" s="45"/>
      <c r="I394" s="148"/>
      <c r="J394" s="149"/>
      <c r="K394" s="45"/>
      <c r="M394" s="148"/>
      <c r="N394" s="149"/>
      <c r="O394" s="45"/>
      <c r="Q394" s="148"/>
      <c r="R394" s="149"/>
      <c r="S394" s="45"/>
      <c r="U394" s="148"/>
      <c r="V394" s="149"/>
      <c r="W394" s="45"/>
      <c r="Y394" s="148"/>
      <c r="Z394" s="149"/>
      <c r="AA394" s="45"/>
      <c r="AC394" s="148"/>
      <c r="AD394" s="149"/>
      <c r="AE394" s="45"/>
      <c r="AG394" s="148"/>
      <c r="AH394" s="149"/>
      <c r="AI394" s="45"/>
      <c r="AK394" s="148"/>
      <c r="AL394" s="149"/>
      <c r="AM394" s="45"/>
      <c r="AO394" s="148"/>
      <c r="AP394" s="149"/>
      <c r="AQ394" s="45"/>
      <c r="AS394" s="148"/>
      <c r="AT394" s="149"/>
      <c r="AU394" s="45"/>
      <c r="AW394" s="148"/>
      <c r="AX394" s="149"/>
      <c r="AY394" s="45"/>
      <c r="BA394" s="148"/>
      <c r="BB394" s="149"/>
      <c r="BC394" s="45"/>
      <c r="BE394" s="148"/>
      <c r="BF394" s="149"/>
      <c r="BG394" s="45"/>
      <c r="BI394" s="148"/>
      <c r="BJ394" s="149"/>
      <c r="BK394" s="45"/>
      <c r="BM394" s="148"/>
      <c r="BN394" s="149"/>
      <c r="BO394" s="45"/>
      <c r="BQ394" s="148"/>
      <c r="BR394" s="149"/>
      <c r="BS394" s="45"/>
      <c r="BU394" s="148"/>
      <c r="BV394" s="149"/>
      <c r="BW394" s="45"/>
      <c r="BY394" s="148"/>
      <c r="BZ394" s="149"/>
      <c r="CA394" s="45"/>
      <c r="CC394" s="148"/>
      <c r="CD394" s="149"/>
      <c r="CE394" s="45"/>
      <c r="CG394" s="148"/>
      <c r="CH394" s="149"/>
      <c r="CI394" s="45"/>
    </row>
    <row r="395">
      <c r="A395" s="147"/>
      <c r="B395" s="140"/>
      <c r="C395" s="57"/>
      <c r="D395" s="140"/>
      <c r="E395" s="138"/>
      <c r="G395" s="52"/>
      <c r="I395" s="138"/>
      <c r="K395" s="52"/>
      <c r="M395" s="138"/>
      <c r="O395" s="52"/>
      <c r="Q395" s="138"/>
      <c r="S395" s="52"/>
      <c r="U395" s="138"/>
      <c r="W395" s="52"/>
      <c r="Y395" s="138"/>
      <c r="AA395" s="52"/>
      <c r="AC395" s="138"/>
      <c r="AE395" s="52"/>
      <c r="AG395" s="138"/>
      <c r="AI395" s="52"/>
      <c r="AK395" s="138"/>
      <c r="AM395" s="52"/>
      <c r="AO395" s="138"/>
      <c r="AQ395" s="52"/>
      <c r="AS395" s="138"/>
      <c r="AU395" s="52"/>
      <c r="AW395" s="138"/>
      <c r="AY395" s="52"/>
      <c r="BA395" s="138"/>
      <c r="BC395" s="52"/>
      <c r="BE395" s="138"/>
      <c r="BG395" s="52"/>
      <c r="BI395" s="138"/>
      <c r="BK395" s="52"/>
      <c r="BM395" s="138"/>
      <c r="BO395" s="52"/>
      <c r="BQ395" s="138"/>
      <c r="BS395" s="52"/>
      <c r="BU395" s="138"/>
      <c r="BW395" s="52"/>
      <c r="BY395" s="138"/>
      <c r="CA395" s="52"/>
      <c r="CC395" s="138"/>
      <c r="CE395" s="52"/>
      <c r="CG395" s="138"/>
      <c r="CI395" s="52"/>
    </row>
    <row r="396">
      <c r="A396" s="147"/>
      <c r="B396" s="173" t="s">
        <v>168</v>
      </c>
      <c r="C396" s="174" t="s">
        <v>165</v>
      </c>
      <c r="D396" s="175" t="s">
        <v>164</v>
      </c>
      <c r="E396" s="140"/>
      <c r="F396" s="56"/>
      <c r="G396" s="57"/>
      <c r="I396" s="140"/>
      <c r="J396" s="56"/>
      <c r="K396" s="57"/>
      <c r="M396" s="140"/>
      <c r="N396" s="56"/>
      <c r="O396" s="57"/>
      <c r="Q396" s="140"/>
      <c r="R396" s="56"/>
      <c r="S396" s="57"/>
      <c r="U396" s="140"/>
      <c r="V396" s="56"/>
      <c r="W396" s="57"/>
      <c r="Y396" s="140"/>
      <c r="Z396" s="56"/>
      <c r="AA396" s="57"/>
      <c r="AC396" s="140"/>
      <c r="AD396" s="56"/>
      <c r="AE396" s="57"/>
      <c r="AG396" s="140"/>
      <c r="AH396" s="56"/>
      <c r="AI396" s="57"/>
      <c r="AK396" s="140"/>
      <c r="AL396" s="56"/>
      <c r="AM396" s="57"/>
      <c r="AO396" s="140"/>
      <c r="AP396" s="56"/>
      <c r="AQ396" s="57"/>
      <c r="AS396" s="140"/>
      <c r="AT396" s="56"/>
      <c r="AU396" s="57"/>
      <c r="AW396" s="140"/>
      <c r="AX396" s="56"/>
      <c r="AY396" s="57"/>
      <c r="BA396" s="140"/>
      <c r="BB396" s="56"/>
      <c r="BC396" s="57"/>
      <c r="BE396" s="140"/>
      <c r="BF396" s="56"/>
      <c r="BG396" s="57"/>
      <c r="BI396" s="140"/>
      <c r="BJ396" s="56"/>
      <c r="BK396" s="57"/>
      <c r="BM396" s="140"/>
      <c r="BN396" s="56"/>
      <c r="BO396" s="57"/>
      <c r="BQ396" s="140"/>
      <c r="BR396" s="56"/>
      <c r="BS396" s="57"/>
      <c r="BU396" s="140"/>
      <c r="BV396" s="56"/>
      <c r="BW396" s="57"/>
      <c r="BY396" s="140"/>
      <c r="BZ396" s="56"/>
      <c r="CA396" s="57"/>
      <c r="CC396" s="140"/>
      <c r="CD396" s="56"/>
      <c r="CE396" s="57"/>
      <c r="CG396" s="140"/>
      <c r="CH396" s="56"/>
      <c r="CI396" s="57"/>
    </row>
    <row r="397">
      <c r="A397" s="139"/>
      <c r="B397" s="153">
        <v>3.0</v>
      </c>
      <c r="C397" s="153" t="s">
        <v>214</v>
      </c>
      <c r="D397" s="155" t="s">
        <v>174</v>
      </c>
      <c r="E397" s="156" t="s">
        <v>171</v>
      </c>
      <c r="F397" s="38"/>
      <c r="G397" s="157"/>
      <c r="I397" s="156" t="s">
        <v>171</v>
      </c>
      <c r="J397" s="38"/>
      <c r="K397" s="157"/>
      <c r="M397" s="156" t="s">
        <v>171</v>
      </c>
      <c r="N397" s="38"/>
      <c r="O397" s="157"/>
      <c r="Q397" s="156" t="s">
        <v>171</v>
      </c>
      <c r="R397" s="38"/>
      <c r="S397" s="157"/>
      <c r="U397" s="156" t="s">
        <v>171</v>
      </c>
      <c r="V397" s="38"/>
      <c r="W397" s="157"/>
      <c r="Y397" s="156" t="s">
        <v>171</v>
      </c>
      <c r="Z397" s="38"/>
      <c r="AA397" s="157"/>
      <c r="AC397" s="156" t="s">
        <v>171</v>
      </c>
      <c r="AD397" s="38"/>
      <c r="AE397" s="157"/>
      <c r="AG397" s="156" t="s">
        <v>171</v>
      </c>
      <c r="AH397" s="38"/>
      <c r="AI397" s="157"/>
      <c r="AK397" s="156" t="s">
        <v>171</v>
      </c>
      <c r="AL397" s="38"/>
      <c r="AM397" s="157"/>
      <c r="AO397" s="156" t="s">
        <v>171</v>
      </c>
      <c r="AP397" s="38"/>
      <c r="AQ397" s="157"/>
      <c r="AS397" s="156" t="s">
        <v>171</v>
      </c>
      <c r="AT397" s="38"/>
      <c r="AU397" s="157"/>
      <c r="AW397" s="156" t="s">
        <v>171</v>
      </c>
      <c r="AX397" s="38"/>
      <c r="AY397" s="157"/>
      <c r="BA397" s="156" t="s">
        <v>171</v>
      </c>
      <c r="BB397" s="38"/>
      <c r="BC397" s="157"/>
      <c r="BE397" s="156" t="s">
        <v>171</v>
      </c>
      <c r="BF397" s="38"/>
      <c r="BG397" s="157"/>
      <c r="BI397" s="156" t="s">
        <v>171</v>
      </c>
      <c r="BJ397" s="38"/>
      <c r="BK397" s="157"/>
      <c r="BM397" s="156" t="s">
        <v>171</v>
      </c>
      <c r="BN397" s="38"/>
      <c r="BO397" s="157"/>
      <c r="BQ397" s="156" t="s">
        <v>171</v>
      </c>
      <c r="BR397" s="38"/>
      <c r="BS397" s="157"/>
      <c r="BU397" s="156" t="s">
        <v>171</v>
      </c>
      <c r="BV397" s="38"/>
      <c r="BW397" s="157"/>
      <c r="BY397" s="156" t="s">
        <v>171</v>
      </c>
      <c r="BZ397" s="38"/>
      <c r="CA397" s="157"/>
      <c r="CC397" s="156" t="s">
        <v>171</v>
      </c>
      <c r="CD397" s="38"/>
      <c r="CE397" s="157"/>
      <c r="CG397" s="156" t="s">
        <v>171</v>
      </c>
      <c r="CH397" s="38"/>
      <c r="CI397" s="157"/>
    </row>
    <row r="398" ht="9.0" customHeight="1">
      <c r="A398" s="166"/>
      <c r="E398" s="137"/>
      <c r="I398" s="137"/>
      <c r="M398" s="137"/>
      <c r="Q398" s="137"/>
      <c r="U398" s="137"/>
      <c r="Y398" s="137"/>
      <c r="AC398" s="137"/>
      <c r="AG398" s="137"/>
      <c r="AK398" s="137"/>
      <c r="AO398" s="137"/>
      <c r="AS398" s="137"/>
      <c r="AW398" s="137"/>
      <c r="BA398" s="137"/>
      <c r="BE398" s="137"/>
      <c r="BI398" s="137"/>
      <c r="BM398" s="137"/>
      <c r="BQ398" s="137"/>
      <c r="BU398" s="137"/>
      <c r="BY398" s="137"/>
      <c r="CC398" s="137"/>
      <c r="CG398" s="137"/>
    </row>
    <row r="399">
      <c r="A399" s="142" t="b">
        <v>0</v>
      </c>
      <c r="B399" s="165" t="s">
        <v>201</v>
      </c>
      <c r="C399" s="45"/>
      <c r="D399" s="172" t="s">
        <v>38</v>
      </c>
      <c r="E399" s="145" t="s">
        <v>167</v>
      </c>
      <c r="F399" s="146"/>
      <c r="G399" s="146"/>
      <c r="I399" s="145" t="s">
        <v>167</v>
      </c>
      <c r="J399" s="146"/>
      <c r="K399" s="146"/>
      <c r="M399" s="145" t="s">
        <v>167</v>
      </c>
      <c r="N399" s="146"/>
      <c r="O399" s="146"/>
      <c r="Q399" s="145" t="s">
        <v>167</v>
      </c>
      <c r="R399" s="146"/>
      <c r="S399" s="146"/>
      <c r="U399" s="145" t="s">
        <v>167</v>
      </c>
      <c r="V399" s="146"/>
      <c r="W399" s="146"/>
      <c r="Y399" s="145" t="s">
        <v>167</v>
      </c>
      <c r="Z399" s="146"/>
      <c r="AA399" s="146"/>
      <c r="AC399" s="145" t="s">
        <v>167</v>
      </c>
      <c r="AD399" s="146"/>
      <c r="AE399" s="146"/>
      <c r="AG399" s="145" t="s">
        <v>167</v>
      </c>
      <c r="AH399" s="146"/>
      <c r="AI399" s="146"/>
      <c r="AK399" s="145" t="s">
        <v>167</v>
      </c>
      <c r="AL399" s="146"/>
      <c r="AM399" s="146"/>
      <c r="AO399" s="145" t="s">
        <v>167</v>
      </c>
      <c r="AP399" s="146"/>
      <c r="AQ399" s="146"/>
      <c r="AS399" s="145" t="s">
        <v>167</v>
      </c>
      <c r="AT399" s="146"/>
      <c r="AU399" s="146"/>
      <c r="AW399" s="145" t="s">
        <v>167</v>
      </c>
      <c r="AX399" s="146"/>
      <c r="AY399" s="146"/>
      <c r="BA399" s="145" t="s">
        <v>167</v>
      </c>
      <c r="BB399" s="146"/>
      <c r="BC399" s="146"/>
      <c r="BE399" s="145" t="s">
        <v>167</v>
      </c>
      <c r="BF399" s="146"/>
      <c r="BG399" s="146"/>
      <c r="BI399" s="145" t="s">
        <v>167</v>
      </c>
      <c r="BJ399" s="146"/>
      <c r="BK399" s="146"/>
      <c r="BM399" s="145" t="s">
        <v>167</v>
      </c>
      <c r="BN399" s="146"/>
      <c r="BO399" s="146"/>
      <c r="BQ399" s="145" t="s">
        <v>167</v>
      </c>
      <c r="BR399" s="146"/>
      <c r="BS399" s="146"/>
      <c r="BU399" s="145" t="s">
        <v>167</v>
      </c>
      <c r="BV399" s="146"/>
      <c r="BW399" s="146"/>
      <c r="BY399" s="145" t="s">
        <v>167</v>
      </c>
      <c r="BZ399" s="146"/>
      <c r="CA399" s="146"/>
      <c r="CC399" s="145" t="s">
        <v>167</v>
      </c>
      <c r="CD399" s="146"/>
      <c r="CE399" s="146"/>
      <c r="CG399" s="145" t="s">
        <v>167</v>
      </c>
      <c r="CH399" s="146"/>
      <c r="CI399" s="146"/>
    </row>
    <row r="400">
      <c r="A400" s="147"/>
      <c r="B400" s="138"/>
      <c r="C400" s="52"/>
      <c r="D400" s="138"/>
      <c r="E400" s="139"/>
      <c r="F400" s="139"/>
      <c r="G400" s="139"/>
      <c r="I400" s="139"/>
      <c r="J400" s="139"/>
      <c r="K400" s="139"/>
      <c r="M400" s="139"/>
      <c r="N400" s="139"/>
      <c r="O400" s="139"/>
      <c r="Q400" s="139"/>
      <c r="R400" s="139"/>
      <c r="S400" s="139"/>
      <c r="U400" s="139"/>
      <c r="V400" s="139"/>
      <c r="W400" s="139"/>
      <c r="Y400" s="139"/>
      <c r="Z400" s="139"/>
      <c r="AA400" s="139"/>
      <c r="AC400" s="139"/>
      <c r="AD400" s="139"/>
      <c r="AE400" s="139"/>
      <c r="AG400" s="139"/>
      <c r="AH400" s="139"/>
      <c r="AI400" s="139"/>
      <c r="AK400" s="139"/>
      <c r="AL400" s="139"/>
      <c r="AM400" s="139"/>
      <c r="AO400" s="139"/>
      <c r="AP400" s="139"/>
      <c r="AQ400" s="139"/>
      <c r="AS400" s="139"/>
      <c r="AT400" s="139"/>
      <c r="AU400" s="139"/>
      <c r="AW400" s="139"/>
      <c r="AX400" s="139"/>
      <c r="AY400" s="139"/>
      <c r="BA400" s="139"/>
      <c r="BB400" s="139"/>
      <c r="BC400" s="139"/>
      <c r="BE400" s="139"/>
      <c r="BF400" s="139"/>
      <c r="BG400" s="139"/>
      <c r="BI400" s="139"/>
      <c r="BJ400" s="139"/>
      <c r="BK400" s="139"/>
      <c r="BM400" s="139"/>
      <c r="BN400" s="139"/>
      <c r="BO400" s="139"/>
      <c r="BQ400" s="139"/>
      <c r="BR400" s="139"/>
      <c r="BS400" s="139"/>
      <c r="BU400" s="139"/>
      <c r="BV400" s="139"/>
      <c r="BW400" s="139"/>
      <c r="BY400" s="139"/>
      <c r="BZ400" s="139"/>
      <c r="CA400" s="139"/>
      <c r="CC400" s="139"/>
      <c r="CD400" s="139"/>
      <c r="CE400" s="139"/>
      <c r="CG400" s="139"/>
      <c r="CH400" s="139"/>
      <c r="CI400" s="139"/>
    </row>
    <row r="401">
      <c r="A401" s="147"/>
      <c r="B401" s="138"/>
      <c r="C401" s="52"/>
      <c r="D401" s="138"/>
      <c r="E401" s="148"/>
      <c r="F401" s="149"/>
      <c r="G401" s="45"/>
      <c r="I401" s="148"/>
      <c r="J401" s="149"/>
      <c r="K401" s="45"/>
      <c r="M401" s="148"/>
      <c r="N401" s="149"/>
      <c r="O401" s="45"/>
      <c r="Q401" s="148"/>
      <c r="R401" s="149"/>
      <c r="S401" s="45"/>
      <c r="U401" s="148"/>
      <c r="V401" s="149"/>
      <c r="W401" s="45"/>
      <c r="Y401" s="148"/>
      <c r="Z401" s="149"/>
      <c r="AA401" s="45"/>
      <c r="AC401" s="148"/>
      <c r="AD401" s="149"/>
      <c r="AE401" s="45"/>
      <c r="AG401" s="148"/>
      <c r="AH401" s="149"/>
      <c r="AI401" s="45"/>
      <c r="AK401" s="148"/>
      <c r="AL401" s="149"/>
      <c r="AM401" s="45"/>
      <c r="AO401" s="148"/>
      <c r="AP401" s="149"/>
      <c r="AQ401" s="45"/>
      <c r="AS401" s="148"/>
      <c r="AT401" s="149"/>
      <c r="AU401" s="45"/>
      <c r="AW401" s="148"/>
      <c r="AX401" s="149"/>
      <c r="AY401" s="45"/>
      <c r="BA401" s="148"/>
      <c r="BB401" s="149"/>
      <c r="BC401" s="45"/>
      <c r="BE401" s="148"/>
      <c r="BF401" s="149"/>
      <c r="BG401" s="45"/>
      <c r="BI401" s="148"/>
      <c r="BJ401" s="149"/>
      <c r="BK401" s="45"/>
      <c r="BM401" s="148"/>
      <c r="BN401" s="149"/>
      <c r="BO401" s="45"/>
      <c r="BQ401" s="148"/>
      <c r="BR401" s="149"/>
      <c r="BS401" s="45"/>
      <c r="BU401" s="148"/>
      <c r="BV401" s="149"/>
      <c r="BW401" s="45"/>
      <c r="BY401" s="148"/>
      <c r="BZ401" s="149"/>
      <c r="CA401" s="45"/>
      <c r="CC401" s="148"/>
      <c r="CD401" s="149"/>
      <c r="CE401" s="45"/>
      <c r="CG401" s="148"/>
      <c r="CH401" s="149"/>
      <c r="CI401" s="45"/>
    </row>
    <row r="402">
      <c r="A402" s="147"/>
      <c r="B402" s="140"/>
      <c r="C402" s="57"/>
      <c r="D402" s="140"/>
      <c r="E402" s="138"/>
      <c r="G402" s="52"/>
      <c r="I402" s="138"/>
      <c r="K402" s="52"/>
      <c r="M402" s="138"/>
      <c r="O402" s="52"/>
      <c r="Q402" s="138"/>
      <c r="S402" s="52"/>
      <c r="U402" s="138"/>
      <c r="W402" s="52"/>
      <c r="Y402" s="138"/>
      <c r="AA402" s="52"/>
      <c r="AC402" s="138"/>
      <c r="AE402" s="52"/>
      <c r="AG402" s="138"/>
      <c r="AI402" s="52"/>
      <c r="AK402" s="138"/>
      <c r="AM402" s="52"/>
      <c r="AO402" s="138"/>
      <c r="AQ402" s="52"/>
      <c r="AS402" s="138"/>
      <c r="AU402" s="52"/>
      <c r="AW402" s="138"/>
      <c r="AY402" s="52"/>
      <c r="BA402" s="138"/>
      <c r="BC402" s="52"/>
      <c r="BE402" s="138"/>
      <c r="BG402" s="52"/>
      <c r="BI402" s="138"/>
      <c r="BK402" s="52"/>
      <c r="BM402" s="138"/>
      <c r="BO402" s="52"/>
      <c r="BQ402" s="138"/>
      <c r="BS402" s="52"/>
      <c r="BU402" s="138"/>
      <c r="BW402" s="52"/>
      <c r="BY402" s="138"/>
      <c r="CA402" s="52"/>
      <c r="CC402" s="138"/>
      <c r="CE402" s="52"/>
      <c r="CG402" s="138"/>
      <c r="CI402" s="52"/>
    </row>
    <row r="403">
      <c r="A403" s="147"/>
      <c r="B403" s="173" t="s">
        <v>168</v>
      </c>
      <c r="C403" s="174" t="s">
        <v>165</v>
      </c>
      <c r="D403" s="175" t="s">
        <v>164</v>
      </c>
      <c r="E403" s="140"/>
      <c r="F403" s="56"/>
      <c r="G403" s="57"/>
      <c r="I403" s="140"/>
      <c r="J403" s="56"/>
      <c r="K403" s="57"/>
      <c r="M403" s="140"/>
      <c r="N403" s="56"/>
      <c r="O403" s="57"/>
      <c r="Q403" s="140"/>
      <c r="R403" s="56"/>
      <c r="S403" s="57"/>
      <c r="U403" s="140"/>
      <c r="V403" s="56"/>
      <c r="W403" s="57"/>
      <c r="Y403" s="140"/>
      <c r="Z403" s="56"/>
      <c r="AA403" s="57"/>
      <c r="AC403" s="140"/>
      <c r="AD403" s="56"/>
      <c r="AE403" s="57"/>
      <c r="AG403" s="140"/>
      <c r="AH403" s="56"/>
      <c r="AI403" s="57"/>
      <c r="AK403" s="140"/>
      <c r="AL403" s="56"/>
      <c r="AM403" s="57"/>
      <c r="AO403" s="140"/>
      <c r="AP403" s="56"/>
      <c r="AQ403" s="57"/>
      <c r="AS403" s="140"/>
      <c r="AT403" s="56"/>
      <c r="AU403" s="57"/>
      <c r="AW403" s="140"/>
      <c r="AX403" s="56"/>
      <c r="AY403" s="57"/>
      <c r="BA403" s="140"/>
      <c r="BB403" s="56"/>
      <c r="BC403" s="57"/>
      <c r="BE403" s="140"/>
      <c r="BF403" s="56"/>
      <c r="BG403" s="57"/>
      <c r="BI403" s="140"/>
      <c r="BJ403" s="56"/>
      <c r="BK403" s="57"/>
      <c r="BM403" s="140"/>
      <c r="BN403" s="56"/>
      <c r="BO403" s="57"/>
      <c r="BQ403" s="140"/>
      <c r="BR403" s="56"/>
      <c r="BS403" s="57"/>
      <c r="BU403" s="140"/>
      <c r="BV403" s="56"/>
      <c r="BW403" s="57"/>
      <c r="BY403" s="140"/>
      <c r="BZ403" s="56"/>
      <c r="CA403" s="57"/>
      <c r="CC403" s="140"/>
      <c r="CD403" s="56"/>
      <c r="CE403" s="57"/>
      <c r="CG403" s="140"/>
      <c r="CH403" s="56"/>
      <c r="CI403" s="57"/>
    </row>
    <row r="404">
      <c r="A404" s="139"/>
      <c r="B404" s="153">
        <v>3.0</v>
      </c>
      <c r="C404" s="161" t="s">
        <v>218</v>
      </c>
      <c r="D404" s="155" t="s">
        <v>174</v>
      </c>
      <c r="E404" s="156" t="s">
        <v>171</v>
      </c>
      <c r="F404" s="38"/>
      <c r="G404" s="157"/>
      <c r="I404" s="156" t="s">
        <v>171</v>
      </c>
      <c r="J404" s="38"/>
      <c r="K404" s="157"/>
      <c r="M404" s="156" t="s">
        <v>171</v>
      </c>
      <c r="N404" s="38"/>
      <c r="O404" s="157"/>
      <c r="Q404" s="156" t="s">
        <v>171</v>
      </c>
      <c r="R404" s="38"/>
      <c r="S404" s="157"/>
      <c r="U404" s="156" t="s">
        <v>171</v>
      </c>
      <c r="V404" s="38"/>
      <c r="W404" s="157"/>
      <c r="Y404" s="156" t="s">
        <v>171</v>
      </c>
      <c r="Z404" s="38"/>
      <c r="AA404" s="157"/>
      <c r="AC404" s="156" t="s">
        <v>171</v>
      </c>
      <c r="AD404" s="38"/>
      <c r="AE404" s="157"/>
      <c r="AG404" s="156" t="s">
        <v>171</v>
      </c>
      <c r="AH404" s="38"/>
      <c r="AI404" s="157"/>
      <c r="AK404" s="156" t="s">
        <v>171</v>
      </c>
      <c r="AL404" s="38"/>
      <c r="AM404" s="157"/>
      <c r="AO404" s="156" t="s">
        <v>171</v>
      </c>
      <c r="AP404" s="38"/>
      <c r="AQ404" s="157"/>
      <c r="AS404" s="156" t="s">
        <v>171</v>
      </c>
      <c r="AT404" s="38"/>
      <c r="AU404" s="157"/>
      <c r="AW404" s="156" t="s">
        <v>171</v>
      </c>
      <c r="AX404" s="38"/>
      <c r="AY404" s="157"/>
      <c r="BA404" s="156" t="s">
        <v>171</v>
      </c>
      <c r="BB404" s="38"/>
      <c r="BC404" s="157"/>
      <c r="BE404" s="156" t="s">
        <v>171</v>
      </c>
      <c r="BF404" s="38"/>
      <c r="BG404" s="157"/>
      <c r="BI404" s="156" t="s">
        <v>171</v>
      </c>
      <c r="BJ404" s="38"/>
      <c r="BK404" s="157"/>
      <c r="BM404" s="156" t="s">
        <v>171</v>
      </c>
      <c r="BN404" s="38"/>
      <c r="BO404" s="157"/>
      <c r="BQ404" s="156" t="s">
        <v>171</v>
      </c>
      <c r="BR404" s="38"/>
      <c r="BS404" s="157"/>
      <c r="BU404" s="156" t="s">
        <v>171</v>
      </c>
      <c r="BV404" s="38"/>
      <c r="BW404" s="157"/>
      <c r="BY404" s="156" t="s">
        <v>171</v>
      </c>
      <c r="BZ404" s="38"/>
      <c r="CA404" s="157"/>
      <c r="CC404" s="156" t="s">
        <v>171</v>
      </c>
      <c r="CD404" s="38"/>
      <c r="CE404" s="157"/>
      <c r="CG404" s="156" t="s">
        <v>171</v>
      </c>
      <c r="CH404" s="38"/>
      <c r="CI404" s="157"/>
    </row>
    <row r="405">
      <c r="A405" s="169"/>
      <c r="E405" s="180"/>
      <c r="F405" s="149"/>
      <c r="G405" s="149"/>
      <c r="H405" s="149"/>
      <c r="I405" s="149"/>
      <c r="J405" s="149"/>
      <c r="K405" s="149"/>
      <c r="L405" s="149"/>
      <c r="M405" s="149"/>
      <c r="N405" s="149"/>
      <c r="O405" s="149"/>
      <c r="P405" s="149"/>
      <c r="Q405" s="149"/>
      <c r="R405" s="149"/>
      <c r="S405" s="149"/>
      <c r="T405" s="149"/>
      <c r="U405" s="149"/>
      <c r="V405" s="149"/>
      <c r="W405" s="149"/>
      <c r="X405" s="149"/>
      <c r="Y405" s="149"/>
      <c r="Z405" s="149"/>
      <c r="AA405" s="149"/>
      <c r="AB405" s="149"/>
      <c r="AC405" s="149"/>
      <c r="AD405" s="149"/>
      <c r="AE405" s="149"/>
      <c r="AF405" s="149"/>
      <c r="AG405" s="149"/>
      <c r="AH405" s="149"/>
      <c r="AI405" s="149"/>
      <c r="AJ405" s="149"/>
      <c r="AK405" s="149"/>
      <c r="AL405" s="149"/>
      <c r="AM405" s="149"/>
      <c r="AN405" s="149"/>
      <c r="AO405" s="149"/>
      <c r="AP405" s="149"/>
      <c r="AQ405" s="149"/>
      <c r="AR405" s="149"/>
      <c r="AS405" s="149"/>
      <c r="AT405" s="149"/>
      <c r="AU405" s="149"/>
      <c r="AV405" s="149"/>
      <c r="AW405" s="149"/>
      <c r="AX405" s="149"/>
      <c r="AY405" s="149"/>
      <c r="AZ405" s="149"/>
      <c r="BA405" s="149"/>
      <c r="BB405" s="149"/>
      <c r="BC405" s="149"/>
      <c r="BD405" s="149"/>
      <c r="BE405" s="149"/>
      <c r="BF405" s="149"/>
      <c r="BG405" s="149"/>
      <c r="BH405" s="149"/>
      <c r="BI405" s="149"/>
      <c r="BJ405" s="149"/>
      <c r="BK405" s="149"/>
      <c r="BL405" s="149"/>
      <c r="BM405" s="149"/>
      <c r="BN405" s="149"/>
      <c r="BO405" s="149"/>
      <c r="BP405" s="149"/>
      <c r="BQ405" s="149"/>
      <c r="BR405" s="149"/>
      <c r="BS405" s="149"/>
      <c r="BT405" s="149"/>
      <c r="BU405" s="149"/>
      <c r="BV405" s="149"/>
      <c r="BW405" s="149"/>
      <c r="BX405" s="149"/>
      <c r="BY405" s="149"/>
      <c r="BZ405" s="149"/>
      <c r="CA405" s="149"/>
      <c r="CB405" s="149"/>
      <c r="CC405" s="149"/>
      <c r="CD405" s="149"/>
      <c r="CE405" s="149"/>
      <c r="CF405" s="149"/>
      <c r="CG405" s="149"/>
      <c r="CH405" s="149"/>
      <c r="CI405" s="45"/>
    </row>
    <row r="406">
      <c r="A406" s="130" t="s">
        <v>139</v>
      </c>
      <c r="B406" s="181" t="s">
        <v>242</v>
      </c>
      <c r="C406" s="149"/>
      <c r="D406" s="45"/>
      <c r="E406" s="138"/>
      <c r="CI406" s="52"/>
    </row>
    <row r="407">
      <c r="A407" s="138"/>
      <c r="B407" s="138"/>
      <c r="D407" s="52"/>
      <c r="E407" s="138"/>
      <c r="CI407" s="52"/>
    </row>
    <row r="408">
      <c r="A408" s="138"/>
      <c r="B408" s="138"/>
      <c r="D408" s="52"/>
      <c r="E408" s="138"/>
      <c r="CI408" s="52"/>
    </row>
    <row r="409">
      <c r="A409" s="140"/>
      <c r="B409" s="140"/>
      <c r="C409" s="56"/>
      <c r="D409" s="57"/>
      <c r="E409" s="138"/>
      <c r="CI409" s="52"/>
    </row>
    <row r="410">
      <c r="A410" s="142" t="b">
        <v>0</v>
      </c>
      <c r="B410" s="182" t="s">
        <v>243</v>
      </c>
      <c r="C410" s="38"/>
      <c r="D410" s="183" t="s">
        <v>38</v>
      </c>
      <c r="E410" s="138"/>
      <c r="CI410" s="52"/>
    </row>
    <row r="411">
      <c r="A411" s="139"/>
      <c r="B411" s="184" t="s">
        <v>244</v>
      </c>
      <c r="C411" s="159"/>
      <c r="D411" s="38"/>
      <c r="E411" s="138"/>
      <c r="CI411" s="52"/>
    </row>
    <row r="412">
      <c r="A412" s="142" t="b">
        <v>0</v>
      </c>
      <c r="B412" s="185" t="s">
        <v>245</v>
      </c>
      <c r="C412" s="38"/>
      <c r="D412" s="183" t="s">
        <v>38</v>
      </c>
      <c r="E412" s="138"/>
      <c r="CI412" s="52"/>
    </row>
    <row r="413">
      <c r="A413" s="139"/>
      <c r="B413" s="186" t="s">
        <v>246</v>
      </c>
      <c r="C413" s="159"/>
      <c r="D413" s="38"/>
      <c r="E413" s="138"/>
      <c r="CI413" s="52"/>
    </row>
    <row r="414">
      <c r="A414" s="142" t="b">
        <v>0</v>
      </c>
      <c r="B414" s="185" t="s">
        <v>247</v>
      </c>
      <c r="C414" s="38"/>
      <c r="D414" s="183" t="s">
        <v>38</v>
      </c>
      <c r="E414" s="138"/>
      <c r="CI414" s="52"/>
    </row>
    <row r="415">
      <c r="A415" s="147"/>
      <c r="B415" s="184" t="s">
        <v>248</v>
      </c>
      <c r="C415" s="159"/>
      <c r="D415" s="38"/>
      <c r="E415" s="138"/>
      <c r="CI415" s="52"/>
    </row>
    <row r="416">
      <c r="A416" s="142" t="b">
        <v>0</v>
      </c>
      <c r="B416" s="185" t="s">
        <v>249</v>
      </c>
      <c r="C416" s="38"/>
      <c r="D416" s="183" t="s">
        <v>38</v>
      </c>
      <c r="E416" s="138"/>
      <c r="CI416" s="52"/>
    </row>
    <row r="417">
      <c r="A417" s="139"/>
      <c r="B417" s="186" t="s">
        <v>250</v>
      </c>
      <c r="C417" s="159"/>
      <c r="D417" s="38"/>
      <c r="E417" s="138"/>
      <c r="CI417" s="52"/>
    </row>
    <row r="418">
      <c r="A418" s="187"/>
      <c r="B418" s="185" t="s">
        <v>251</v>
      </c>
      <c r="C418" s="38"/>
      <c r="D418" s="183" t="s">
        <v>252</v>
      </c>
      <c r="E418" s="138"/>
      <c r="CI418" s="52"/>
    </row>
    <row r="419">
      <c r="A419" s="147"/>
      <c r="B419" s="188" t="s">
        <v>253</v>
      </c>
      <c r="C419" s="45"/>
      <c r="D419" s="183" t="s">
        <v>254</v>
      </c>
      <c r="E419" s="138"/>
      <c r="CI419" s="52"/>
    </row>
    <row r="420">
      <c r="A420" s="139"/>
      <c r="B420" s="140"/>
      <c r="C420" s="57"/>
      <c r="D420" s="183" t="s">
        <v>255</v>
      </c>
      <c r="E420" s="138"/>
      <c r="CI420" s="52"/>
    </row>
    <row r="421">
      <c r="A421" s="142" t="b">
        <v>0</v>
      </c>
      <c r="B421" s="185" t="s">
        <v>256</v>
      </c>
      <c r="C421" s="38"/>
      <c r="D421" s="183" t="s">
        <v>38</v>
      </c>
      <c r="E421" s="138"/>
      <c r="CI421" s="52"/>
    </row>
    <row r="422">
      <c r="A422" s="139"/>
      <c r="B422" s="186" t="s">
        <v>253</v>
      </c>
      <c r="C422" s="159"/>
      <c r="D422" s="38"/>
      <c r="E422" s="138"/>
      <c r="CI422" s="52"/>
    </row>
    <row r="423">
      <c r="A423" s="142" t="b">
        <v>0</v>
      </c>
      <c r="B423" s="182" t="s">
        <v>257</v>
      </c>
      <c r="C423" s="38"/>
      <c r="D423" s="183" t="s">
        <v>38</v>
      </c>
      <c r="E423" s="138"/>
      <c r="CI423" s="52"/>
    </row>
    <row r="424">
      <c r="A424" s="139"/>
      <c r="B424" s="184" t="s">
        <v>244</v>
      </c>
      <c r="C424" s="159"/>
      <c r="D424" s="38"/>
      <c r="E424" s="138"/>
      <c r="CI424" s="52"/>
    </row>
    <row r="425">
      <c r="A425" s="142" t="b">
        <v>0</v>
      </c>
      <c r="B425" s="185" t="s">
        <v>258</v>
      </c>
      <c r="C425" s="38"/>
      <c r="D425" s="183" t="s">
        <v>38</v>
      </c>
      <c r="E425" s="138"/>
      <c r="CI425" s="52"/>
    </row>
    <row r="426">
      <c r="A426" s="139"/>
      <c r="B426" s="186" t="s">
        <v>259</v>
      </c>
      <c r="C426" s="159"/>
      <c r="D426" s="38"/>
      <c r="E426" s="138"/>
      <c r="CI426" s="52"/>
    </row>
    <row r="427">
      <c r="A427" s="142" t="b">
        <v>0</v>
      </c>
      <c r="B427" s="185" t="s">
        <v>260</v>
      </c>
      <c r="C427" s="38"/>
      <c r="D427" s="183" t="s">
        <v>38</v>
      </c>
      <c r="E427" s="138"/>
      <c r="CI427" s="52"/>
    </row>
    <row r="428">
      <c r="A428" s="139"/>
      <c r="B428" s="184" t="s">
        <v>259</v>
      </c>
      <c r="C428" s="159"/>
      <c r="D428" s="38"/>
      <c r="E428" s="138"/>
      <c r="CI428" s="52"/>
    </row>
    <row r="429">
      <c r="A429" s="142" t="b">
        <v>0</v>
      </c>
      <c r="B429" s="185" t="s">
        <v>261</v>
      </c>
      <c r="C429" s="38"/>
      <c r="D429" s="183" t="s">
        <v>38</v>
      </c>
      <c r="E429" s="138"/>
      <c r="CI429" s="52"/>
    </row>
    <row r="430">
      <c r="A430" s="139"/>
      <c r="B430" s="186" t="s">
        <v>259</v>
      </c>
      <c r="C430" s="159"/>
      <c r="D430" s="38"/>
      <c r="E430" s="138"/>
      <c r="CI430" s="52"/>
    </row>
    <row r="431">
      <c r="A431" s="142" t="b">
        <v>0</v>
      </c>
      <c r="B431" s="185" t="s">
        <v>201</v>
      </c>
      <c r="C431" s="38"/>
      <c r="D431" s="183" t="s">
        <v>38</v>
      </c>
      <c r="E431" s="138"/>
      <c r="CI431" s="52"/>
    </row>
    <row r="432">
      <c r="A432" s="139"/>
      <c r="B432" s="184" t="s">
        <v>259</v>
      </c>
      <c r="C432" s="159"/>
      <c r="D432" s="38"/>
      <c r="E432" s="138"/>
      <c r="CI432" s="52"/>
    </row>
    <row r="433">
      <c r="A433" s="142" t="b">
        <v>0</v>
      </c>
      <c r="B433" s="185" t="s">
        <v>262</v>
      </c>
      <c r="C433" s="38"/>
      <c r="D433" s="183" t="s">
        <v>38</v>
      </c>
      <c r="E433" s="138"/>
      <c r="CI433" s="52"/>
    </row>
    <row r="434">
      <c r="A434" s="139"/>
      <c r="B434" s="186" t="s">
        <v>259</v>
      </c>
      <c r="C434" s="159"/>
      <c r="D434" s="38"/>
      <c r="E434" s="138"/>
      <c r="CI434" s="52"/>
    </row>
    <row r="435">
      <c r="A435" s="142" t="b">
        <v>0</v>
      </c>
      <c r="B435" s="185" t="s">
        <v>263</v>
      </c>
      <c r="C435" s="38"/>
      <c r="D435" s="183" t="s">
        <v>38</v>
      </c>
      <c r="E435" s="138"/>
      <c r="CI435" s="52"/>
    </row>
    <row r="436">
      <c r="A436" s="139"/>
      <c r="B436" s="184" t="s">
        <v>264</v>
      </c>
      <c r="C436" s="159"/>
      <c r="D436" s="38"/>
      <c r="E436" s="138"/>
      <c r="CI436" s="52"/>
    </row>
    <row r="437">
      <c r="A437" s="142" t="b">
        <v>0</v>
      </c>
      <c r="B437" s="185" t="s">
        <v>265</v>
      </c>
      <c r="C437" s="38"/>
      <c r="D437" s="183" t="s">
        <v>38</v>
      </c>
      <c r="E437" s="138"/>
      <c r="CI437" s="52"/>
    </row>
    <row r="438">
      <c r="A438" s="139"/>
      <c r="B438" s="186" t="s">
        <v>259</v>
      </c>
      <c r="C438" s="159"/>
      <c r="D438" s="38"/>
      <c r="E438" s="138"/>
      <c r="CI438" s="52"/>
    </row>
    <row r="439">
      <c r="A439" s="142" t="b">
        <v>0</v>
      </c>
      <c r="B439" s="185" t="s">
        <v>266</v>
      </c>
      <c r="C439" s="38"/>
      <c r="D439" s="183" t="s">
        <v>38</v>
      </c>
      <c r="E439" s="138"/>
      <c r="CI439" s="52"/>
    </row>
    <row r="440">
      <c r="A440" s="139"/>
      <c r="B440" s="184" t="s">
        <v>259</v>
      </c>
      <c r="C440" s="159"/>
      <c r="D440" s="38"/>
      <c r="E440" s="138"/>
      <c r="CI440" s="52"/>
    </row>
    <row r="441">
      <c r="A441" s="142" t="b">
        <v>0</v>
      </c>
      <c r="B441" s="185" t="s">
        <v>267</v>
      </c>
      <c r="C441" s="38"/>
      <c r="D441" s="183" t="s">
        <v>38</v>
      </c>
      <c r="E441" s="138"/>
      <c r="CI441" s="52"/>
    </row>
    <row r="442">
      <c r="A442" s="139"/>
      <c r="B442" s="186" t="s">
        <v>268</v>
      </c>
      <c r="C442" s="159"/>
      <c r="D442" s="38"/>
      <c r="E442" s="138"/>
      <c r="CI442" s="52"/>
    </row>
    <row r="443">
      <c r="A443" s="142" t="b">
        <v>0</v>
      </c>
      <c r="B443" s="185" t="s">
        <v>269</v>
      </c>
      <c r="C443" s="38"/>
      <c r="D443" s="183" t="s">
        <v>38</v>
      </c>
      <c r="E443" s="138"/>
      <c r="CI443" s="52"/>
    </row>
    <row r="444">
      <c r="A444" s="139"/>
      <c r="B444" s="184" t="s">
        <v>259</v>
      </c>
      <c r="C444" s="159"/>
      <c r="D444" s="38"/>
      <c r="E444" s="140"/>
      <c r="F444" s="56"/>
      <c r="G444" s="56"/>
      <c r="H444" s="56"/>
      <c r="I444" s="56"/>
      <c r="J444" s="56"/>
      <c r="K444" s="56"/>
      <c r="L444" s="56"/>
      <c r="M444" s="56"/>
      <c r="N444" s="56"/>
      <c r="O444" s="56"/>
      <c r="P444" s="56"/>
      <c r="Q444" s="56"/>
      <c r="R444" s="56"/>
      <c r="S444" s="56"/>
      <c r="T444" s="56"/>
      <c r="U444" s="56"/>
      <c r="V444" s="56"/>
      <c r="W444" s="56"/>
      <c r="X444" s="56"/>
      <c r="Y444" s="56"/>
      <c r="Z444" s="56"/>
      <c r="AA444" s="56"/>
      <c r="AB444" s="56"/>
      <c r="AC444" s="56"/>
      <c r="AD444" s="56"/>
      <c r="AE444" s="56"/>
      <c r="AF444" s="56"/>
      <c r="AG444" s="56"/>
      <c r="AH444" s="56"/>
      <c r="AI444" s="56"/>
      <c r="AJ444" s="56"/>
      <c r="AK444" s="56"/>
      <c r="AL444" s="56"/>
      <c r="AM444" s="56"/>
      <c r="AN444" s="56"/>
      <c r="AO444" s="56"/>
      <c r="AP444" s="56"/>
      <c r="AQ444" s="56"/>
      <c r="AR444" s="56"/>
      <c r="AS444" s="56"/>
      <c r="AT444" s="56"/>
      <c r="AU444" s="56"/>
      <c r="AV444" s="56"/>
      <c r="AW444" s="56"/>
      <c r="AX444" s="56"/>
      <c r="AY444" s="56"/>
      <c r="AZ444" s="56"/>
      <c r="BA444" s="56"/>
      <c r="BB444" s="56"/>
      <c r="BC444" s="56"/>
      <c r="BD444" s="56"/>
      <c r="BE444" s="56"/>
      <c r="BF444" s="56"/>
      <c r="BG444" s="56"/>
      <c r="BH444" s="56"/>
      <c r="BI444" s="56"/>
      <c r="BJ444" s="56"/>
      <c r="BK444" s="56"/>
      <c r="BL444" s="56"/>
      <c r="BM444" s="56"/>
      <c r="BN444" s="56"/>
      <c r="BO444" s="56"/>
      <c r="BP444" s="56"/>
      <c r="BQ444" s="56"/>
      <c r="BR444" s="56"/>
      <c r="BS444" s="56"/>
      <c r="BT444" s="56"/>
      <c r="BU444" s="56"/>
      <c r="BV444" s="56"/>
      <c r="BW444" s="56"/>
      <c r="BX444" s="56"/>
      <c r="BY444" s="56"/>
      <c r="BZ444" s="56"/>
      <c r="CA444" s="56"/>
      <c r="CB444" s="56"/>
      <c r="CC444" s="56"/>
      <c r="CD444" s="56"/>
      <c r="CE444" s="56"/>
      <c r="CF444" s="56"/>
      <c r="CG444" s="56"/>
      <c r="CH444" s="56"/>
      <c r="CI444" s="57"/>
    </row>
  </sheetData>
  <mergeCells count="7743">
    <mergeCell ref="AE167:AE168"/>
    <mergeCell ref="AG167:AG168"/>
    <mergeCell ref="V167:V168"/>
    <mergeCell ref="W167:W168"/>
    <mergeCell ref="Y167:Y168"/>
    <mergeCell ref="Z167:Z168"/>
    <mergeCell ref="AA167:AA168"/>
    <mergeCell ref="AC167:AC168"/>
    <mergeCell ref="AD167:AD168"/>
    <mergeCell ref="BQ169:BS171"/>
    <mergeCell ref="BU169:BW171"/>
    <mergeCell ref="BY169:CA171"/>
    <mergeCell ref="CC169:CE171"/>
    <mergeCell ref="CG169:CI171"/>
    <mergeCell ref="AO169:AQ171"/>
    <mergeCell ref="AS169:AU171"/>
    <mergeCell ref="AW169:AY171"/>
    <mergeCell ref="BA169:BC171"/>
    <mergeCell ref="BE169:BG171"/>
    <mergeCell ref="BI169:BK171"/>
    <mergeCell ref="BM169:BO171"/>
    <mergeCell ref="Q169:S171"/>
    <mergeCell ref="Q172:R172"/>
    <mergeCell ref="Y169:AA171"/>
    <mergeCell ref="Y172:Z172"/>
    <mergeCell ref="BM172:BN172"/>
    <mergeCell ref="BQ172:BR172"/>
    <mergeCell ref="BU172:BV172"/>
    <mergeCell ref="BY172:BZ172"/>
    <mergeCell ref="CC172:CD172"/>
    <mergeCell ref="CG172:CH172"/>
    <mergeCell ref="AK172:AL172"/>
    <mergeCell ref="AO172:AP172"/>
    <mergeCell ref="AS172:AT172"/>
    <mergeCell ref="AW172:AX172"/>
    <mergeCell ref="BA172:BB172"/>
    <mergeCell ref="BE172:BF172"/>
    <mergeCell ref="BI172:BJ172"/>
    <mergeCell ref="AO174:AO175"/>
    <mergeCell ref="AP174:AP175"/>
    <mergeCell ref="BA188:BA189"/>
    <mergeCell ref="BB188:BB189"/>
    <mergeCell ref="BC188:BC189"/>
    <mergeCell ref="BE188:BE189"/>
    <mergeCell ref="BF188:BF189"/>
    <mergeCell ref="BG188:BG189"/>
    <mergeCell ref="BI188:BI189"/>
    <mergeCell ref="BJ188:BJ189"/>
    <mergeCell ref="BK188:BK189"/>
    <mergeCell ref="BM188:BM189"/>
    <mergeCell ref="BN188:BN189"/>
    <mergeCell ref="BO188:BO189"/>
    <mergeCell ref="BZ188:BZ189"/>
    <mergeCell ref="CA188:CA189"/>
    <mergeCell ref="CC188:CC189"/>
    <mergeCell ref="CD188:CD189"/>
    <mergeCell ref="CE188:CE189"/>
    <mergeCell ref="CG188:CG189"/>
    <mergeCell ref="CH188:CH189"/>
    <mergeCell ref="CI188:CI189"/>
    <mergeCell ref="BQ188:BQ189"/>
    <mergeCell ref="BR188:BR189"/>
    <mergeCell ref="BS188:BS189"/>
    <mergeCell ref="BU188:BU189"/>
    <mergeCell ref="BV188:BV189"/>
    <mergeCell ref="BW188:BW189"/>
    <mergeCell ref="BY188:BY189"/>
    <mergeCell ref="AG169:AI171"/>
    <mergeCell ref="AG172:AH172"/>
    <mergeCell ref="AG173:AI173"/>
    <mergeCell ref="M169:O171"/>
    <mergeCell ref="U169:W171"/>
    <mergeCell ref="AC169:AE171"/>
    <mergeCell ref="AK169:AM171"/>
    <mergeCell ref="M172:N172"/>
    <mergeCell ref="U172:V172"/>
    <mergeCell ref="AC172:AD172"/>
    <mergeCell ref="AS173:AU173"/>
    <mergeCell ref="AW173:AY173"/>
    <mergeCell ref="BA173:BC173"/>
    <mergeCell ref="BE173:BG173"/>
    <mergeCell ref="BI173:BK173"/>
    <mergeCell ref="BM173:BO173"/>
    <mergeCell ref="BQ173:BS173"/>
    <mergeCell ref="M173:O173"/>
    <mergeCell ref="Q173:S173"/>
    <mergeCell ref="U173:W173"/>
    <mergeCell ref="Y173:AA173"/>
    <mergeCell ref="AC173:AE173"/>
    <mergeCell ref="AK173:AM173"/>
    <mergeCell ref="AO173:AQ173"/>
    <mergeCell ref="CG181:CG182"/>
    <mergeCell ref="CH181:CH182"/>
    <mergeCell ref="CI181:CI182"/>
    <mergeCell ref="CG183:CI185"/>
    <mergeCell ref="CG186:CH186"/>
    <mergeCell ref="CG187:CI187"/>
    <mergeCell ref="BU173:BW173"/>
    <mergeCell ref="BY173:CA173"/>
    <mergeCell ref="CC173:CE173"/>
    <mergeCell ref="CG173:CI173"/>
    <mergeCell ref="CG176:CI178"/>
    <mergeCell ref="CG179:CH179"/>
    <mergeCell ref="CG180:CI180"/>
    <mergeCell ref="M174:M175"/>
    <mergeCell ref="N174:N175"/>
    <mergeCell ref="O174:O175"/>
    <mergeCell ref="Q174:Q175"/>
    <mergeCell ref="R174:R175"/>
    <mergeCell ref="S174:S175"/>
    <mergeCell ref="U174:U175"/>
    <mergeCell ref="M190:O192"/>
    <mergeCell ref="U190:W192"/>
    <mergeCell ref="AC190:AE192"/>
    <mergeCell ref="AK190:AM192"/>
    <mergeCell ref="M193:N193"/>
    <mergeCell ref="U193:V193"/>
    <mergeCell ref="AC193:AD193"/>
    <mergeCell ref="AG190:AI192"/>
    <mergeCell ref="AG193:AH193"/>
    <mergeCell ref="AG194:AI194"/>
    <mergeCell ref="AK194:AM194"/>
    <mergeCell ref="AO194:AQ194"/>
    <mergeCell ref="AS194:AU194"/>
    <mergeCell ref="AW194:AY194"/>
    <mergeCell ref="BQ190:BS192"/>
    <mergeCell ref="BU190:BW192"/>
    <mergeCell ref="BY190:CA192"/>
    <mergeCell ref="CC190:CE192"/>
    <mergeCell ref="CG190:CI192"/>
    <mergeCell ref="AO190:AQ192"/>
    <mergeCell ref="AS190:AU192"/>
    <mergeCell ref="AW190:AY192"/>
    <mergeCell ref="BA190:BC192"/>
    <mergeCell ref="BE190:BG192"/>
    <mergeCell ref="BI190:BK192"/>
    <mergeCell ref="BM190:BO192"/>
    <mergeCell ref="Q190:S192"/>
    <mergeCell ref="Q193:R193"/>
    <mergeCell ref="M194:O194"/>
    <mergeCell ref="Q194:S194"/>
    <mergeCell ref="U194:W194"/>
    <mergeCell ref="Y190:AA192"/>
    <mergeCell ref="Y193:Z193"/>
    <mergeCell ref="Y194:AA194"/>
    <mergeCell ref="AC194:AE194"/>
    <mergeCell ref="BM193:BN193"/>
    <mergeCell ref="BQ193:BR193"/>
    <mergeCell ref="BU193:BV193"/>
    <mergeCell ref="BY193:BZ193"/>
    <mergeCell ref="CC193:CD193"/>
    <mergeCell ref="CG193:CH193"/>
    <mergeCell ref="AK193:AL193"/>
    <mergeCell ref="AO193:AP193"/>
    <mergeCell ref="AS193:AT193"/>
    <mergeCell ref="AW193:AX193"/>
    <mergeCell ref="BA193:BB193"/>
    <mergeCell ref="BE193:BF193"/>
    <mergeCell ref="BI193:BJ193"/>
    <mergeCell ref="CC194:CE194"/>
    <mergeCell ref="CG194:CI194"/>
    <mergeCell ref="BA194:BC194"/>
    <mergeCell ref="BE194:BG194"/>
    <mergeCell ref="BI194:BK194"/>
    <mergeCell ref="BM194:BO194"/>
    <mergeCell ref="BQ194:BS194"/>
    <mergeCell ref="BU194:BW194"/>
    <mergeCell ref="BY194:CA194"/>
    <mergeCell ref="G174:G175"/>
    <mergeCell ref="E176:G178"/>
    <mergeCell ref="A173:D173"/>
    <mergeCell ref="E173:G173"/>
    <mergeCell ref="A174:A179"/>
    <mergeCell ref="B174:C177"/>
    <mergeCell ref="D174:D177"/>
    <mergeCell ref="E174:E175"/>
    <mergeCell ref="F174:F175"/>
    <mergeCell ref="F181:F182"/>
    <mergeCell ref="G181:G182"/>
    <mergeCell ref="E183:G185"/>
    <mergeCell ref="E186:F186"/>
    <mergeCell ref="E179:F179"/>
    <mergeCell ref="A180:D180"/>
    <mergeCell ref="E180:G180"/>
    <mergeCell ref="A181:A186"/>
    <mergeCell ref="B181:C184"/>
    <mergeCell ref="D181:D184"/>
    <mergeCell ref="E181:E182"/>
    <mergeCell ref="G188:G189"/>
    <mergeCell ref="E190:G192"/>
    <mergeCell ref="I190:K192"/>
    <mergeCell ref="I193:J193"/>
    <mergeCell ref="I194:K194"/>
    <mergeCell ref="Y195:Y196"/>
    <mergeCell ref="Z195:Z196"/>
    <mergeCell ref="CE195:CE196"/>
    <mergeCell ref="CG195:CG196"/>
    <mergeCell ref="CH195:CH196"/>
    <mergeCell ref="CI195:CI196"/>
    <mergeCell ref="BU197:BW199"/>
    <mergeCell ref="BY197:CA199"/>
    <mergeCell ref="CC197:CE199"/>
    <mergeCell ref="CG197:CI199"/>
    <mergeCell ref="BU200:BV200"/>
    <mergeCell ref="BY200:BZ200"/>
    <mergeCell ref="CC200:CD200"/>
    <mergeCell ref="CG200:CH200"/>
    <mergeCell ref="BV195:BV196"/>
    <mergeCell ref="BW195:BW196"/>
    <mergeCell ref="BY195:BY196"/>
    <mergeCell ref="BZ195:BZ196"/>
    <mergeCell ref="CA195:CA196"/>
    <mergeCell ref="CC195:CC196"/>
    <mergeCell ref="CD195:CD196"/>
    <mergeCell ref="F195:F196"/>
    <mergeCell ref="G195:G196"/>
    <mergeCell ref="I195:I196"/>
    <mergeCell ref="J195:J196"/>
    <mergeCell ref="K195:K196"/>
    <mergeCell ref="M195:M196"/>
    <mergeCell ref="N195:N196"/>
    <mergeCell ref="O195:O196"/>
    <mergeCell ref="Q195:Q196"/>
    <mergeCell ref="R195:R196"/>
    <mergeCell ref="S195:S196"/>
    <mergeCell ref="U195:U196"/>
    <mergeCell ref="V195:V196"/>
    <mergeCell ref="W195:W196"/>
    <mergeCell ref="AA195:AA196"/>
    <mergeCell ref="AC195:AC196"/>
    <mergeCell ref="AD195:AD196"/>
    <mergeCell ref="AE195:AE196"/>
    <mergeCell ref="AG195:AG196"/>
    <mergeCell ref="AH195:AH196"/>
    <mergeCell ref="AI195:AI196"/>
    <mergeCell ref="AK195:AK196"/>
    <mergeCell ref="AL195:AL196"/>
    <mergeCell ref="AM195:AM196"/>
    <mergeCell ref="AO195:AO196"/>
    <mergeCell ref="AP195:AP196"/>
    <mergeCell ref="AQ195:AQ196"/>
    <mergeCell ref="AS195:AS196"/>
    <mergeCell ref="AT195:AT196"/>
    <mergeCell ref="AU195:AU196"/>
    <mergeCell ref="AW195:AW196"/>
    <mergeCell ref="AX195:AX196"/>
    <mergeCell ref="AY195:AY196"/>
    <mergeCell ref="BA195:BA196"/>
    <mergeCell ref="BB195:BB196"/>
    <mergeCell ref="BC195:BC196"/>
    <mergeCell ref="BE195:BE196"/>
    <mergeCell ref="BF195:BF196"/>
    <mergeCell ref="BG195:BG196"/>
    <mergeCell ref="BI195:BI196"/>
    <mergeCell ref="BJ195:BJ196"/>
    <mergeCell ref="BK195:BK196"/>
    <mergeCell ref="BM195:BM196"/>
    <mergeCell ref="BN195:BN196"/>
    <mergeCell ref="BO195:BO196"/>
    <mergeCell ref="BQ195:BQ196"/>
    <mergeCell ref="BR195:BR196"/>
    <mergeCell ref="BS195:BS196"/>
    <mergeCell ref="BU195:BU196"/>
    <mergeCell ref="BE201:BG201"/>
    <mergeCell ref="BI201:BK201"/>
    <mergeCell ref="BU201:BW201"/>
    <mergeCell ref="BY201:CA201"/>
    <mergeCell ref="CC201:CE201"/>
    <mergeCell ref="CG201:CI201"/>
    <mergeCell ref="AC201:AE201"/>
    <mergeCell ref="AG201:AI201"/>
    <mergeCell ref="AK201:AM201"/>
    <mergeCell ref="AO201:AQ201"/>
    <mergeCell ref="AS201:AU201"/>
    <mergeCell ref="AW201:AY201"/>
    <mergeCell ref="BA201:BC201"/>
    <mergeCell ref="E197:G199"/>
    <mergeCell ref="I197:K199"/>
    <mergeCell ref="M197:O199"/>
    <mergeCell ref="Q197:S199"/>
    <mergeCell ref="U197:W199"/>
    <mergeCell ref="Y197:AA199"/>
    <mergeCell ref="AC197:AE199"/>
    <mergeCell ref="BI197:BK199"/>
    <mergeCell ref="BM197:BO199"/>
    <mergeCell ref="BQ197:BS199"/>
    <mergeCell ref="AG197:AI199"/>
    <mergeCell ref="AK197:AM199"/>
    <mergeCell ref="AO197:AQ199"/>
    <mergeCell ref="AS197:AU199"/>
    <mergeCell ref="AW197:AY199"/>
    <mergeCell ref="BA197:BC199"/>
    <mergeCell ref="BE197:BG199"/>
    <mergeCell ref="E200:F200"/>
    <mergeCell ref="I200:J200"/>
    <mergeCell ref="M200:N200"/>
    <mergeCell ref="Q200:R200"/>
    <mergeCell ref="U200:V200"/>
    <mergeCell ref="Y200:Z200"/>
    <mergeCell ref="AC200:AD200"/>
    <mergeCell ref="BI200:BJ200"/>
    <mergeCell ref="BM200:BN200"/>
    <mergeCell ref="BQ200:BR200"/>
    <mergeCell ref="BM201:BO201"/>
    <mergeCell ref="BQ201:BS201"/>
    <mergeCell ref="AG200:AH200"/>
    <mergeCell ref="AK200:AL200"/>
    <mergeCell ref="AO200:AP200"/>
    <mergeCell ref="AS200:AT200"/>
    <mergeCell ref="AW200:AX200"/>
    <mergeCell ref="BA200:BB200"/>
    <mergeCell ref="BE200:BF200"/>
    <mergeCell ref="A201:D201"/>
    <mergeCell ref="E201:G201"/>
    <mergeCell ref="I201:K201"/>
    <mergeCell ref="M201:O201"/>
    <mergeCell ref="Q201:S201"/>
    <mergeCell ref="U201:W201"/>
    <mergeCell ref="Y201:AA201"/>
    <mergeCell ref="AX202:AX203"/>
    <mergeCell ref="AY202:AY203"/>
    <mergeCell ref="BA202:BA203"/>
    <mergeCell ref="BB202:BB203"/>
    <mergeCell ref="BC202:BC203"/>
    <mergeCell ref="BE202:BE203"/>
    <mergeCell ref="BF202:BF203"/>
    <mergeCell ref="BG202:BG203"/>
    <mergeCell ref="BI202:BI203"/>
    <mergeCell ref="BJ202:BJ203"/>
    <mergeCell ref="BK202:BK203"/>
    <mergeCell ref="BM202:BM203"/>
    <mergeCell ref="BN202:BN203"/>
    <mergeCell ref="BO202:BO203"/>
    <mergeCell ref="CC202:CC203"/>
    <mergeCell ref="CD202:CD203"/>
    <mergeCell ref="CE202:CE203"/>
    <mergeCell ref="CG202:CG203"/>
    <mergeCell ref="CH202:CH203"/>
    <mergeCell ref="CI202:CI203"/>
    <mergeCell ref="BS202:BS203"/>
    <mergeCell ref="BU202:BU203"/>
    <mergeCell ref="BV202:BV203"/>
    <mergeCell ref="BW202:BW203"/>
    <mergeCell ref="BY202:BY203"/>
    <mergeCell ref="BZ202:BZ203"/>
    <mergeCell ref="CA202:CA203"/>
    <mergeCell ref="A187:D187"/>
    <mergeCell ref="E187:G187"/>
    <mergeCell ref="A188:A193"/>
    <mergeCell ref="B188:C191"/>
    <mergeCell ref="D188:D191"/>
    <mergeCell ref="E188:E189"/>
    <mergeCell ref="F188:F189"/>
    <mergeCell ref="E193:F193"/>
    <mergeCell ref="A194:D194"/>
    <mergeCell ref="E194:G194"/>
    <mergeCell ref="A195:A200"/>
    <mergeCell ref="B195:C198"/>
    <mergeCell ref="D195:D198"/>
    <mergeCell ref="E195:E196"/>
    <mergeCell ref="V202:V203"/>
    <mergeCell ref="W202:W203"/>
    <mergeCell ref="Y202:Y203"/>
    <mergeCell ref="Z202:Z203"/>
    <mergeCell ref="AA202:AA203"/>
    <mergeCell ref="AC202:AC203"/>
    <mergeCell ref="AD202:AD203"/>
    <mergeCell ref="AE202:AE203"/>
    <mergeCell ref="AG202:AG203"/>
    <mergeCell ref="AH202:AH203"/>
    <mergeCell ref="AI202:AI203"/>
    <mergeCell ref="AK202:AK203"/>
    <mergeCell ref="AL202:AL203"/>
    <mergeCell ref="AM202:AM203"/>
    <mergeCell ref="AO202:AO203"/>
    <mergeCell ref="AP202:AP203"/>
    <mergeCell ref="AQ202:AQ203"/>
    <mergeCell ref="AS202:AS203"/>
    <mergeCell ref="AT202:AT203"/>
    <mergeCell ref="AU202:AU203"/>
    <mergeCell ref="AW202:AW203"/>
    <mergeCell ref="BQ202:BQ203"/>
    <mergeCell ref="BR202:BR203"/>
    <mergeCell ref="M202:M203"/>
    <mergeCell ref="N202:N203"/>
    <mergeCell ref="O202:O203"/>
    <mergeCell ref="Q202:Q203"/>
    <mergeCell ref="R202:R203"/>
    <mergeCell ref="S202:S203"/>
    <mergeCell ref="U202:U203"/>
    <mergeCell ref="M123:O125"/>
    <mergeCell ref="Q123:S125"/>
    <mergeCell ref="U123:W125"/>
    <mergeCell ref="AC123:AE125"/>
    <mergeCell ref="Q126:R126"/>
    <mergeCell ref="U126:V126"/>
    <mergeCell ref="AC126:AD126"/>
    <mergeCell ref="W128:W129"/>
    <mergeCell ref="Y128:Y129"/>
    <mergeCell ref="Z128:Z129"/>
    <mergeCell ref="AA128:AA129"/>
    <mergeCell ref="AC128:AC129"/>
    <mergeCell ref="AD128:AD129"/>
    <mergeCell ref="M126:N126"/>
    <mergeCell ref="M127:O127"/>
    <mergeCell ref="Q127:S127"/>
    <mergeCell ref="U127:W127"/>
    <mergeCell ref="AC127:AE127"/>
    <mergeCell ref="M128:M129"/>
    <mergeCell ref="N128:N129"/>
    <mergeCell ref="AE128:AE129"/>
    <mergeCell ref="M93:M94"/>
    <mergeCell ref="N93:N94"/>
    <mergeCell ref="M95:O97"/>
    <mergeCell ref="Q95:S97"/>
    <mergeCell ref="M98:N98"/>
    <mergeCell ref="Q98:R98"/>
    <mergeCell ref="Q99:S99"/>
    <mergeCell ref="M99:O99"/>
    <mergeCell ref="M100:M101"/>
    <mergeCell ref="N100:N101"/>
    <mergeCell ref="M102:O104"/>
    <mergeCell ref="Q102:S104"/>
    <mergeCell ref="M105:N105"/>
    <mergeCell ref="Q105:R105"/>
    <mergeCell ref="M107:M108"/>
    <mergeCell ref="N107:N108"/>
    <mergeCell ref="M109:O111"/>
    <mergeCell ref="Q109:S111"/>
    <mergeCell ref="M112:N112"/>
    <mergeCell ref="Q112:R112"/>
    <mergeCell ref="Q113:S113"/>
    <mergeCell ref="M113:O113"/>
    <mergeCell ref="M114:M115"/>
    <mergeCell ref="N114:N115"/>
    <mergeCell ref="M116:O118"/>
    <mergeCell ref="Q116:S118"/>
    <mergeCell ref="M119:N119"/>
    <mergeCell ref="Q119:R119"/>
    <mergeCell ref="Y123:AA125"/>
    <mergeCell ref="Y126:Z126"/>
    <mergeCell ref="Y127:AA127"/>
    <mergeCell ref="R128:R129"/>
    <mergeCell ref="S128:S129"/>
    <mergeCell ref="U128:U129"/>
    <mergeCell ref="V128:V129"/>
    <mergeCell ref="AU86:AU87"/>
    <mergeCell ref="AW86:AW87"/>
    <mergeCell ref="BC86:BC87"/>
    <mergeCell ref="BE86:BE87"/>
    <mergeCell ref="BF86:BF87"/>
    <mergeCell ref="BG86:BG87"/>
    <mergeCell ref="AO88:AQ90"/>
    <mergeCell ref="AS88:AU90"/>
    <mergeCell ref="AW88:AY90"/>
    <mergeCell ref="BA88:BC90"/>
    <mergeCell ref="AO92:AQ92"/>
    <mergeCell ref="AS92:AU92"/>
    <mergeCell ref="AW92:AY92"/>
    <mergeCell ref="BA92:BC92"/>
    <mergeCell ref="AW93:AW94"/>
    <mergeCell ref="AX93:AX94"/>
    <mergeCell ref="AY93:AY94"/>
    <mergeCell ref="BA93:BA94"/>
    <mergeCell ref="BB93:BB94"/>
    <mergeCell ref="BC93:BC94"/>
    <mergeCell ref="BE92:BG92"/>
    <mergeCell ref="AO93:AO94"/>
    <mergeCell ref="AP93:AP94"/>
    <mergeCell ref="AQ93:AQ94"/>
    <mergeCell ref="AS93:AS94"/>
    <mergeCell ref="AT93:AT94"/>
    <mergeCell ref="AU93:AU94"/>
    <mergeCell ref="BG93:BG94"/>
    <mergeCell ref="BE93:BE94"/>
    <mergeCell ref="BF93:BF94"/>
    <mergeCell ref="AO95:AQ97"/>
    <mergeCell ref="AS95:AU97"/>
    <mergeCell ref="AW95:AY97"/>
    <mergeCell ref="BA95:BC97"/>
    <mergeCell ref="BE88:BG90"/>
    <mergeCell ref="AO91:AP91"/>
    <mergeCell ref="AS91:AT91"/>
    <mergeCell ref="AW91:AX91"/>
    <mergeCell ref="BA91:BB91"/>
    <mergeCell ref="BE91:BF91"/>
    <mergeCell ref="BE95:BG97"/>
    <mergeCell ref="AO98:AP98"/>
    <mergeCell ref="AS98:AT98"/>
    <mergeCell ref="AW98:AX98"/>
    <mergeCell ref="BA98:BB98"/>
    <mergeCell ref="BE98:BF98"/>
    <mergeCell ref="AO99:AQ99"/>
    <mergeCell ref="AS99:AU99"/>
    <mergeCell ref="AW99:AY99"/>
    <mergeCell ref="BA99:BC99"/>
    <mergeCell ref="AW100:AW101"/>
    <mergeCell ref="AX100:AX101"/>
    <mergeCell ref="AY100:AY101"/>
    <mergeCell ref="BA100:BA101"/>
    <mergeCell ref="BB100:BB101"/>
    <mergeCell ref="BC100:BC101"/>
    <mergeCell ref="BE99:BG99"/>
    <mergeCell ref="AO100:AO101"/>
    <mergeCell ref="AP100:AP101"/>
    <mergeCell ref="AQ100:AQ101"/>
    <mergeCell ref="AS100:AS101"/>
    <mergeCell ref="AT100:AT101"/>
    <mergeCell ref="AU100:AU101"/>
    <mergeCell ref="BG100:BG101"/>
    <mergeCell ref="BE100:BE101"/>
    <mergeCell ref="BF100:BF101"/>
    <mergeCell ref="AO102:AQ104"/>
    <mergeCell ref="AS102:AU104"/>
    <mergeCell ref="AW102:AY104"/>
    <mergeCell ref="BA102:BC104"/>
    <mergeCell ref="AO106:AQ106"/>
    <mergeCell ref="AS106:AU106"/>
    <mergeCell ref="AW106:AY106"/>
    <mergeCell ref="BA106:BC106"/>
    <mergeCell ref="BE106:BG106"/>
    <mergeCell ref="AO107:AO108"/>
    <mergeCell ref="AP107:AP108"/>
    <mergeCell ref="AQ107:AQ108"/>
    <mergeCell ref="AS107:AS108"/>
    <mergeCell ref="AT107:AT108"/>
    <mergeCell ref="AU107:AU108"/>
    <mergeCell ref="AW107:AW108"/>
    <mergeCell ref="AX107:AX108"/>
    <mergeCell ref="AY107:AY108"/>
    <mergeCell ref="BA107:BA108"/>
    <mergeCell ref="BB107:BB108"/>
    <mergeCell ref="BC107:BC108"/>
    <mergeCell ref="BE107:BE108"/>
    <mergeCell ref="BF107:BF108"/>
    <mergeCell ref="BG107:BG108"/>
    <mergeCell ref="BE102:BG104"/>
    <mergeCell ref="AO105:AP105"/>
    <mergeCell ref="AS105:AT105"/>
    <mergeCell ref="AW105:AX105"/>
    <mergeCell ref="BA105:BB105"/>
    <mergeCell ref="BE105:BF105"/>
    <mergeCell ref="AO109:AQ111"/>
    <mergeCell ref="AS109:AU111"/>
    <mergeCell ref="AW109:AY111"/>
    <mergeCell ref="BA109:BC111"/>
    <mergeCell ref="BE109:BG111"/>
    <mergeCell ref="AO112:AP112"/>
    <mergeCell ref="AS112:AT112"/>
    <mergeCell ref="AW112:AX112"/>
    <mergeCell ref="BA112:BB112"/>
    <mergeCell ref="BE112:BF112"/>
    <mergeCell ref="AO113:AQ113"/>
    <mergeCell ref="AS113:AU113"/>
    <mergeCell ref="AW113:AY113"/>
    <mergeCell ref="BA113:BC113"/>
    <mergeCell ref="AW114:AW115"/>
    <mergeCell ref="AX114:AX115"/>
    <mergeCell ref="AY114:AY115"/>
    <mergeCell ref="BA114:BA115"/>
    <mergeCell ref="BB114:BB115"/>
    <mergeCell ref="BC114:BC115"/>
    <mergeCell ref="BE113:BG113"/>
    <mergeCell ref="AO114:AO115"/>
    <mergeCell ref="AP114:AP115"/>
    <mergeCell ref="AQ114:AQ115"/>
    <mergeCell ref="AS114:AS115"/>
    <mergeCell ref="AT114:AT115"/>
    <mergeCell ref="AU114:AU115"/>
    <mergeCell ref="BG114:BG115"/>
    <mergeCell ref="BE114:BE115"/>
    <mergeCell ref="BF114:BF115"/>
    <mergeCell ref="AO116:AQ118"/>
    <mergeCell ref="AS116:AU118"/>
    <mergeCell ref="AW116:AY118"/>
    <mergeCell ref="BA116:BC118"/>
    <mergeCell ref="AO126:AP126"/>
    <mergeCell ref="AS126:AT126"/>
    <mergeCell ref="AK130:AM132"/>
    <mergeCell ref="AK133:AL133"/>
    <mergeCell ref="AO133:AP133"/>
    <mergeCell ref="AK134:AM134"/>
    <mergeCell ref="AK135:AK136"/>
    <mergeCell ref="AL135:AL136"/>
    <mergeCell ref="AM135:AM136"/>
    <mergeCell ref="AO135:AO136"/>
    <mergeCell ref="AP135:AP136"/>
    <mergeCell ref="AQ135:AQ136"/>
    <mergeCell ref="AK137:AM139"/>
    <mergeCell ref="AK140:AL140"/>
    <mergeCell ref="AL142:AL143"/>
    <mergeCell ref="AM142:AM143"/>
    <mergeCell ref="AK144:AM146"/>
    <mergeCell ref="AK147:AL147"/>
    <mergeCell ref="AK148:AM148"/>
    <mergeCell ref="AK149:AK150"/>
    <mergeCell ref="AL149:AL150"/>
    <mergeCell ref="AM149:AM150"/>
    <mergeCell ref="AK151:AM153"/>
    <mergeCell ref="AK154:AL154"/>
    <mergeCell ref="AK155:AM155"/>
    <mergeCell ref="AK156:AK157"/>
    <mergeCell ref="AL156:AL157"/>
    <mergeCell ref="AM156:AM157"/>
    <mergeCell ref="AK158:AM160"/>
    <mergeCell ref="AK161:AL161"/>
    <mergeCell ref="AJ82:AJ161"/>
    <mergeCell ref="AK86:AK87"/>
    <mergeCell ref="AK93:AK94"/>
    <mergeCell ref="AK100:AK101"/>
    <mergeCell ref="AK107:AK108"/>
    <mergeCell ref="AK109:AM111"/>
    <mergeCell ref="AK112:AL112"/>
    <mergeCell ref="AK116:AM118"/>
    <mergeCell ref="AK119:AL119"/>
    <mergeCell ref="AK123:AM125"/>
    <mergeCell ref="AK126:AL126"/>
    <mergeCell ref="AW130:AY132"/>
    <mergeCell ref="AW133:AX133"/>
    <mergeCell ref="AW134:AY134"/>
    <mergeCell ref="AO134:AQ134"/>
    <mergeCell ref="AS134:AU134"/>
    <mergeCell ref="AK127:AM127"/>
    <mergeCell ref="AK128:AK129"/>
    <mergeCell ref="AL128:AL129"/>
    <mergeCell ref="AM128:AM129"/>
    <mergeCell ref="AO130:AQ132"/>
    <mergeCell ref="AS130:AU132"/>
    <mergeCell ref="AS133:AT133"/>
    <mergeCell ref="AS135:AS136"/>
    <mergeCell ref="AT135:AT136"/>
    <mergeCell ref="AK141:AM141"/>
    <mergeCell ref="AK142:AK143"/>
    <mergeCell ref="Y130:AA132"/>
    <mergeCell ref="Y133:Z133"/>
    <mergeCell ref="Y134:AA134"/>
    <mergeCell ref="I126:J126"/>
    <mergeCell ref="I127:K127"/>
    <mergeCell ref="M130:O132"/>
    <mergeCell ref="U130:W132"/>
    <mergeCell ref="AC130:AE132"/>
    <mergeCell ref="M133:N133"/>
    <mergeCell ref="AC133:AD133"/>
    <mergeCell ref="Z135:Z136"/>
    <mergeCell ref="AA135:AA136"/>
    <mergeCell ref="U137:W139"/>
    <mergeCell ref="Y137:AA139"/>
    <mergeCell ref="U140:V140"/>
    <mergeCell ref="Y140:Z140"/>
    <mergeCell ref="U141:W141"/>
    <mergeCell ref="Y141:AA141"/>
    <mergeCell ref="AC135:AC136"/>
    <mergeCell ref="AD135:AD136"/>
    <mergeCell ref="AC137:AE139"/>
    <mergeCell ref="AC140:AD140"/>
    <mergeCell ref="AC141:AE141"/>
    <mergeCell ref="U133:V133"/>
    <mergeCell ref="U134:W134"/>
    <mergeCell ref="AC134:AE134"/>
    <mergeCell ref="U135:U136"/>
    <mergeCell ref="V135:V136"/>
    <mergeCell ref="W135:W136"/>
    <mergeCell ref="Y135:Y136"/>
    <mergeCell ref="AE135:AE136"/>
    <mergeCell ref="Q130:S132"/>
    <mergeCell ref="Q133:R133"/>
    <mergeCell ref="M134:O134"/>
    <mergeCell ref="Q134:S134"/>
    <mergeCell ref="M135:M136"/>
    <mergeCell ref="R135:R136"/>
    <mergeCell ref="S135:S136"/>
    <mergeCell ref="AA142:AA143"/>
    <mergeCell ref="AC142:AC143"/>
    <mergeCell ref="AD142:AD143"/>
    <mergeCell ref="AE142:AE143"/>
    <mergeCell ref="R142:R143"/>
    <mergeCell ref="S142:S143"/>
    <mergeCell ref="U142:U143"/>
    <mergeCell ref="V142:V143"/>
    <mergeCell ref="W142:W143"/>
    <mergeCell ref="Y142:Y143"/>
    <mergeCell ref="Z142:Z143"/>
    <mergeCell ref="N135:N136"/>
    <mergeCell ref="M137:O139"/>
    <mergeCell ref="Q137:S139"/>
    <mergeCell ref="M140:N140"/>
    <mergeCell ref="Q140:R140"/>
    <mergeCell ref="M141:O141"/>
    <mergeCell ref="Q141:S141"/>
    <mergeCell ref="AC144:AE146"/>
    <mergeCell ref="AC147:AD147"/>
    <mergeCell ref="AC148:AE148"/>
    <mergeCell ref="M144:O146"/>
    <mergeCell ref="Q144:S146"/>
    <mergeCell ref="U144:W146"/>
    <mergeCell ref="Y144:AA146"/>
    <mergeCell ref="Q147:R147"/>
    <mergeCell ref="U147:V147"/>
    <mergeCell ref="Y147:Z147"/>
    <mergeCell ref="V149:V150"/>
    <mergeCell ref="W149:W150"/>
    <mergeCell ref="AA149:AA150"/>
    <mergeCell ref="AC149:AC150"/>
    <mergeCell ref="AD149:AD150"/>
    <mergeCell ref="AE149:AE150"/>
    <mergeCell ref="Y158:AA160"/>
    <mergeCell ref="Y161:Z161"/>
    <mergeCell ref="M158:O160"/>
    <mergeCell ref="Q158:S160"/>
    <mergeCell ref="U158:W160"/>
    <mergeCell ref="AC158:AE160"/>
    <mergeCell ref="Q161:R161"/>
    <mergeCell ref="U161:V161"/>
    <mergeCell ref="AC161:AD161"/>
    <mergeCell ref="AG158:AI160"/>
    <mergeCell ref="AG161:AH161"/>
    <mergeCell ref="AC176:AE178"/>
    <mergeCell ref="AC179:AD179"/>
    <mergeCell ref="AC180:AE180"/>
    <mergeCell ref="AC181:AC182"/>
    <mergeCell ref="AD181:AD182"/>
    <mergeCell ref="AE181:AE182"/>
    <mergeCell ref="AC183:AE185"/>
    <mergeCell ref="AC186:AD186"/>
    <mergeCell ref="AC187:AE187"/>
    <mergeCell ref="AC188:AC189"/>
    <mergeCell ref="AD188:AD189"/>
    <mergeCell ref="AE188:AE189"/>
    <mergeCell ref="AI188:AI189"/>
    <mergeCell ref="Y149:Y150"/>
    <mergeCell ref="Z149:Z150"/>
    <mergeCell ref="Y151:AA153"/>
    <mergeCell ref="AC151:AE153"/>
    <mergeCell ref="Y154:Z154"/>
    <mergeCell ref="AC154:AD154"/>
    <mergeCell ref="Y155:AA155"/>
    <mergeCell ref="AC155:AE155"/>
    <mergeCell ref="M148:O148"/>
    <mergeCell ref="Q148:S148"/>
    <mergeCell ref="U148:W148"/>
    <mergeCell ref="Y148:AA148"/>
    <mergeCell ref="R149:R150"/>
    <mergeCell ref="S149:S150"/>
    <mergeCell ref="U149:U150"/>
    <mergeCell ref="M151:O153"/>
    <mergeCell ref="Q151:S153"/>
    <mergeCell ref="U151:W153"/>
    <mergeCell ref="Q154:R154"/>
    <mergeCell ref="U154:V154"/>
    <mergeCell ref="M155:O155"/>
    <mergeCell ref="U155:W155"/>
    <mergeCell ref="Z156:Z157"/>
    <mergeCell ref="AA156:AA157"/>
    <mergeCell ref="AC156:AC157"/>
    <mergeCell ref="AD156:AD157"/>
    <mergeCell ref="AE156:AE157"/>
    <mergeCell ref="AG156:AG157"/>
    <mergeCell ref="AH156:AH157"/>
    <mergeCell ref="AI156:AI157"/>
    <mergeCell ref="Q155:S155"/>
    <mergeCell ref="R156:R157"/>
    <mergeCell ref="S156:S157"/>
    <mergeCell ref="U156:U157"/>
    <mergeCell ref="V156:V157"/>
    <mergeCell ref="W156:W157"/>
    <mergeCell ref="Y156:Y157"/>
    <mergeCell ref="N163:O164"/>
    <mergeCell ref="Q163:Q164"/>
    <mergeCell ref="R163:S164"/>
    <mergeCell ref="U163:U164"/>
    <mergeCell ref="V163:W164"/>
    <mergeCell ref="Y163:Y164"/>
    <mergeCell ref="Z163:AA164"/>
    <mergeCell ref="AG188:AG189"/>
    <mergeCell ref="AH188:AH189"/>
    <mergeCell ref="BG181:BG182"/>
    <mergeCell ref="BI181:BI182"/>
    <mergeCell ref="BQ181:BQ182"/>
    <mergeCell ref="BR181:BR182"/>
    <mergeCell ref="BS181:BS182"/>
    <mergeCell ref="BM209:BM210"/>
    <mergeCell ref="BN209:BN210"/>
    <mergeCell ref="BM211:BO213"/>
    <mergeCell ref="BM214:BN214"/>
    <mergeCell ref="BM215:BO215"/>
    <mergeCell ref="BO209:BO210"/>
    <mergeCell ref="BQ209:BQ210"/>
    <mergeCell ref="BR209:BR210"/>
    <mergeCell ref="BS209:BS210"/>
    <mergeCell ref="BQ211:BS213"/>
    <mergeCell ref="BQ214:BR214"/>
    <mergeCell ref="BQ215:BS215"/>
    <mergeCell ref="BE181:BE182"/>
    <mergeCell ref="BF181:BF182"/>
    <mergeCell ref="BI208:BK208"/>
    <mergeCell ref="BM208:BO208"/>
    <mergeCell ref="BQ208:BS208"/>
    <mergeCell ref="BE209:BE210"/>
    <mergeCell ref="BF209:BF210"/>
    <mergeCell ref="AQ181:AQ182"/>
    <mergeCell ref="AS181:AS182"/>
    <mergeCell ref="AS209:AS210"/>
    <mergeCell ref="AT209:AT210"/>
    <mergeCell ref="AU209:AU210"/>
    <mergeCell ref="AS211:AU213"/>
    <mergeCell ref="AS214:AT214"/>
    <mergeCell ref="AS215:AU215"/>
    <mergeCell ref="AT181:AT182"/>
    <mergeCell ref="AU181:AU182"/>
    <mergeCell ref="AY181:AY182"/>
    <mergeCell ref="BA181:BA182"/>
    <mergeCell ref="BB181:BB182"/>
    <mergeCell ref="BC181:BC182"/>
    <mergeCell ref="BG209:BG210"/>
    <mergeCell ref="BI209:BI210"/>
    <mergeCell ref="BE211:BG213"/>
    <mergeCell ref="BI211:BK213"/>
    <mergeCell ref="BE214:BF214"/>
    <mergeCell ref="BI214:BJ214"/>
    <mergeCell ref="BE215:BG215"/>
    <mergeCell ref="BI215:BK215"/>
    <mergeCell ref="BJ209:BJ210"/>
    <mergeCell ref="BK209:BK210"/>
    <mergeCell ref="AY209:AY210"/>
    <mergeCell ref="AW211:AY213"/>
    <mergeCell ref="BA211:BC213"/>
    <mergeCell ref="AW214:AX214"/>
    <mergeCell ref="BA214:BB214"/>
    <mergeCell ref="AW215:AY215"/>
    <mergeCell ref="BA215:BC215"/>
    <mergeCell ref="AW181:AW182"/>
    <mergeCell ref="AX181:AX182"/>
    <mergeCell ref="AW209:AW210"/>
    <mergeCell ref="AX209:AX210"/>
    <mergeCell ref="BA209:BA210"/>
    <mergeCell ref="BB209:BB210"/>
    <mergeCell ref="BC209:BC210"/>
    <mergeCell ref="AG181:AG182"/>
    <mergeCell ref="AH181:AH182"/>
    <mergeCell ref="AD209:AD210"/>
    <mergeCell ref="AE209:AE210"/>
    <mergeCell ref="AG209:AG210"/>
    <mergeCell ref="AH209:AH210"/>
    <mergeCell ref="AI209:AI210"/>
    <mergeCell ref="AC211:AE213"/>
    <mergeCell ref="AG211:AI213"/>
    <mergeCell ref="AC214:AD214"/>
    <mergeCell ref="AG214:AH214"/>
    <mergeCell ref="AC215:AE215"/>
    <mergeCell ref="AG215:AI215"/>
    <mergeCell ref="AG216:AG217"/>
    <mergeCell ref="AI223:AI224"/>
    <mergeCell ref="AG225:AI227"/>
    <mergeCell ref="AG228:AH228"/>
    <mergeCell ref="AG229:AI229"/>
    <mergeCell ref="AG230:AG231"/>
    <mergeCell ref="AH230:AH231"/>
    <mergeCell ref="AI230:AI231"/>
    <mergeCell ref="AG232:AI234"/>
    <mergeCell ref="AH216:AH217"/>
    <mergeCell ref="AI216:AI217"/>
    <mergeCell ref="AG218:AI220"/>
    <mergeCell ref="AG221:AH221"/>
    <mergeCell ref="AG222:AI222"/>
    <mergeCell ref="AG223:AG224"/>
    <mergeCell ref="AH223:AH224"/>
    <mergeCell ref="BI218:BK220"/>
    <mergeCell ref="BI221:BJ221"/>
    <mergeCell ref="BI222:BK222"/>
    <mergeCell ref="AS218:AU220"/>
    <mergeCell ref="AW218:AY220"/>
    <mergeCell ref="BE218:BG220"/>
    <mergeCell ref="BM218:BO220"/>
    <mergeCell ref="AW221:AX221"/>
    <mergeCell ref="BE221:BF221"/>
    <mergeCell ref="BM221:BN221"/>
    <mergeCell ref="AS221:AT221"/>
    <mergeCell ref="AS222:AU222"/>
    <mergeCell ref="AW222:AY222"/>
    <mergeCell ref="BA222:BC222"/>
    <mergeCell ref="BE222:BG222"/>
    <mergeCell ref="BM222:BO222"/>
    <mergeCell ref="BQ222:BS222"/>
    <mergeCell ref="AS223:AS224"/>
    <mergeCell ref="AT223:AT224"/>
    <mergeCell ref="AU223:AU224"/>
    <mergeCell ref="AW223:AW224"/>
    <mergeCell ref="AX223:AX224"/>
    <mergeCell ref="AY223:AY224"/>
    <mergeCell ref="BA223:BA224"/>
    <mergeCell ref="BK223:BK224"/>
    <mergeCell ref="BM223:BM224"/>
    <mergeCell ref="BN223:BN224"/>
    <mergeCell ref="BO223:BO224"/>
    <mergeCell ref="BQ223:BQ224"/>
    <mergeCell ref="BR223:BR224"/>
    <mergeCell ref="BS223:BS224"/>
    <mergeCell ref="BB223:BB224"/>
    <mergeCell ref="BC223:BC224"/>
    <mergeCell ref="BE223:BE224"/>
    <mergeCell ref="BF223:BF224"/>
    <mergeCell ref="BG223:BG224"/>
    <mergeCell ref="BI223:BI224"/>
    <mergeCell ref="BJ223:BJ224"/>
    <mergeCell ref="AK209:AK210"/>
    <mergeCell ref="AL209:AL210"/>
    <mergeCell ref="AM209:AM210"/>
    <mergeCell ref="AO209:AO210"/>
    <mergeCell ref="AP209:AP210"/>
    <mergeCell ref="AQ209:AQ210"/>
    <mergeCell ref="AO211:AQ213"/>
    <mergeCell ref="AK211:AM213"/>
    <mergeCell ref="AK214:AL214"/>
    <mergeCell ref="AK215:AM215"/>
    <mergeCell ref="AK216:AK217"/>
    <mergeCell ref="AL216:AL217"/>
    <mergeCell ref="AM216:AM217"/>
    <mergeCell ref="AO216:AO217"/>
    <mergeCell ref="AY216:AY217"/>
    <mergeCell ref="BA216:BA217"/>
    <mergeCell ref="BB216:BB217"/>
    <mergeCell ref="BC216:BC217"/>
    <mergeCell ref="BE216:BE217"/>
    <mergeCell ref="BF216:BF217"/>
    <mergeCell ref="BG216:BG217"/>
    <mergeCell ref="BR216:BR217"/>
    <mergeCell ref="BS216:BS217"/>
    <mergeCell ref="BQ218:BS220"/>
    <mergeCell ref="BQ221:BR221"/>
    <mergeCell ref="BI216:BI217"/>
    <mergeCell ref="BJ216:BJ217"/>
    <mergeCell ref="BK216:BK217"/>
    <mergeCell ref="BM216:BM217"/>
    <mergeCell ref="BN216:BN217"/>
    <mergeCell ref="BO216:BO217"/>
    <mergeCell ref="BQ216:BQ217"/>
    <mergeCell ref="AP216:AP217"/>
    <mergeCell ref="AQ216:AQ217"/>
    <mergeCell ref="AS216:AS217"/>
    <mergeCell ref="AT216:AT217"/>
    <mergeCell ref="AU216:AU217"/>
    <mergeCell ref="AW216:AW217"/>
    <mergeCell ref="AX216:AX217"/>
    <mergeCell ref="BA218:BC220"/>
    <mergeCell ref="BA221:BB221"/>
    <mergeCell ref="AO214:AP214"/>
    <mergeCell ref="AO215:AQ215"/>
    <mergeCell ref="AK218:AM220"/>
    <mergeCell ref="AO218:AQ220"/>
    <mergeCell ref="AK221:AL221"/>
    <mergeCell ref="AO221:AP221"/>
    <mergeCell ref="AO222:AQ222"/>
    <mergeCell ref="AK222:AM222"/>
    <mergeCell ref="AK223:AK224"/>
    <mergeCell ref="AL223:AL224"/>
    <mergeCell ref="AM223:AM224"/>
    <mergeCell ref="AO223:AO224"/>
    <mergeCell ref="AP223:AP224"/>
    <mergeCell ref="AQ223:AQ224"/>
    <mergeCell ref="AW225:AY227"/>
    <mergeCell ref="AW228:AX228"/>
    <mergeCell ref="AS229:AU229"/>
    <mergeCell ref="AW229:AY229"/>
    <mergeCell ref="BA229:BC229"/>
    <mergeCell ref="BE225:BG227"/>
    <mergeCell ref="BE228:BF228"/>
    <mergeCell ref="BE229:BG229"/>
    <mergeCell ref="BI229:BK229"/>
    <mergeCell ref="BM225:BO227"/>
    <mergeCell ref="BM228:BN228"/>
    <mergeCell ref="BM229:BO229"/>
    <mergeCell ref="BQ229:BS229"/>
    <mergeCell ref="AS225:AU227"/>
    <mergeCell ref="BA225:BC227"/>
    <mergeCell ref="BI225:BK227"/>
    <mergeCell ref="BQ225:BS227"/>
    <mergeCell ref="AS228:AT228"/>
    <mergeCell ref="BA228:BB228"/>
    <mergeCell ref="BI228:BJ228"/>
    <mergeCell ref="BQ228:BR228"/>
    <mergeCell ref="AK225:AM227"/>
    <mergeCell ref="AO225:AQ227"/>
    <mergeCell ref="AK228:AL228"/>
    <mergeCell ref="AO228:AP228"/>
    <mergeCell ref="AK229:AM229"/>
    <mergeCell ref="AO229:AQ229"/>
    <mergeCell ref="AK230:AK231"/>
    <mergeCell ref="AQ230:AQ231"/>
    <mergeCell ref="AY230:AY231"/>
    <mergeCell ref="BA230:BA231"/>
    <mergeCell ref="BB230:BB231"/>
    <mergeCell ref="BC230:BC231"/>
    <mergeCell ref="BE230:BE231"/>
    <mergeCell ref="BF230:BF231"/>
    <mergeCell ref="BG230:BG231"/>
    <mergeCell ref="BR230:BR231"/>
    <mergeCell ref="BS230:BS231"/>
    <mergeCell ref="BQ232:BS234"/>
    <mergeCell ref="BI230:BI231"/>
    <mergeCell ref="BJ230:BJ231"/>
    <mergeCell ref="BK230:BK231"/>
    <mergeCell ref="BM230:BM231"/>
    <mergeCell ref="BN230:BN231"/>
    <mergeCell ref="BO230:BO231"/>
    <mergeCell ref="BQ230:BQ231"/>
    <mergeCell ref="AS232:AU234"/>
    <mergeCell ref="AW232:AY234"/>
    <mergeCell ref="BA232:BC234"/>
    <mergeCell ref="BE232:BG234"/>
    <mergeCell ref="BI232:BK234"/>
    <mergeCell ref="BM232:BO234"/>
    <mergeCell ref="AO230:AO231"/>
    <mergeCell ref="AP230:AP231"/>
    <mergeCell ref="AS230:AS231"/>
    <mergeCell ref="AT230:AT231"/>
    <mergeCell ref="AU230:AU231"/>
    <mergeCell ref="AW230:AW231"/>
    <mergeCell ref="AX230:AX231"/>
    <mergeCell ref="AG179:AH179"/>
    <mergeCell ref="AK179:AL179"/>
    <mergeCell ref="AG180:AI180"/>
    <mergeCell ref="AK180:AM180"/>
    <mergeCell ref="AI181:AI182"/>
    <mergeCell ref="AK181:AK182"/>
    <mergeCell ref="AL181:AL182"/>
    <mergeCell ref="AM181:AM182"/>
    <mergeCell ref="AO181:AO182"/>
    <mergeCell ref="AP181:AP182"/>
    <mergeCell ref="AG183:AI185"/>
    <mergeCell ref="AK183:AM185"/>
    <mergeCell ref="AO183:AQ185"/>
    <mergeCell ref="AG186:AH186"/>
    <mergeCell ref="AK186:AL186"/>
    <mergeCell ref="AO186:AP186"/>
    <mergeCell ref="AL230:AL231"/>
    <mergeCell ref="AM230:AM231"/>
    <mergeCell ref="AK232:AM234"/>
    <mergeCell ref="AO232:AQ234"/>
    <mergeCell ref="AC230:AC231"/>
    <mergeCell ref="AD230:AD231"/>
    <mergeCell ref="AE230:AE231"/>
    <mergeCell ref="AC222:AE222"/>
    <mergeCell ref="AC223:AC224"/>
    <mergeCell ref="AD223:AD224"/>
    <mergeCell ref="AE223:AE224"/>
    <mergeCell ref="AC225:AE227"/>
    <mergeCell ref="AC228:AD228"/>
    <mergeCell ref="AC229:AE229"/>
    <mergeCell ref="AA181:AA182"/>
    <mergeCell ref="Y183:AA185"/>
    <mergeCell ref="Y186:Z186"/>
    <mergeCell ref="Y187:AA187"/>
    <mergeCell ref="Y188:Y189"/>
    <mergeCell ref="Z188:Z189"/>
    <mergeCell ref="X163:X242"/>
    <mergeCell ref="W209:W210"/>
    <mergeCell ref="W216:W217"/>
    <mergeCell ref="W223:W224"/>
    <mergeCell ref="W230:W231"/>
    <mergeCell ref="Y209:Y210"/>
    <mergeCell ref="Z209:Z210"/>
    <mergeCell ref="AC209:AC210"/>
    <mergeCell ref="Y214:Z214"/>
    <mergeCell ref="Y215:AA215"/>
    <mergeCell ref="Y216:Y217"/>
    <mergeCell ref="Z216:Z217"/>
    <mergeCell ref="AC216:AC217"/>
    <mergeCell ref="AD216:AD217"/>
    <mergeCell ref="AE216:AE217"/>
    <mergeCell ref="AC218:AE220"/>
    <mergeCell ref="AC221:AD221"/>
    <mergeCell ref="AC232:AE234"/>
    <mergeCell ref="AA230:AA231"/>
    <mergeCell ref="Y232:AA234"/>
    <mergeCell ref="AB163:AB242"/>
    <mergeCell ref="Y176:AA178"/>
    <mergeCell ref="Y179:Z179"/>
    <mergeCell ref="Y180:AA180"/>
    <mergeCell ref="Y181:Y182"/>
    <mergeCell ref="Z181:Z182"/>
    <mergeCell ref="AA188:AA189"/>
    <mergeCell ref="AA209:AA210"/>
    <mergeCell ref="Y211:AA213"/>
    <mergeCell ref="AA216:AA217"/>
    <mergeCell ref="Y218:AA220"/>
    <mergeCell ref="Y221:Z221"/>
    <mergeCell ref="Y222:AA222"/>
    <mergeCell ref="Y223:Y224"/>
    <mergeCell ref="Z223:Z224"/>
    <mergeCell ref="AA223:AA224"/>
    <mergeCell ref="Y225:AA227"/>
    <mergeCell ref="Y228:Z228"/>
    <mergeCell ref="Y229:AA229"/>
    <mergeCell ref="Y230:Y231"/>
    <mergeCell ref="Z230:Z231"/>
    <mergeCell ref="AS3:AS4"/>
    <mergeCell ref="AT3:AT4"/>
    <mergeCell ref="AU3:AU4"/>
    <mergeCell ref="AW3:AW4"/>
    <mergeCell ref="AX3:AX4"/>
    <mergeCell ref="AY3:AY4"/>
    <mergeCell ref="BA3:BA4"/>
    <mergeCell ref="BB3:BB4"/>
    <mergeCell ref="BC5:BC6"/>
    <mergeCell ref="BF3:BF4"/>
    <mergeCell ref="BG3:BG4"/>
    <mergeCell ref="BE5:BE6"/>
    <mergeCell ref="BF5:BF6"/>
    <mergeCell ref="BG5:BG6"/>
    <mergeCell ref="BI3:BI4"/>
    <mergeCell ref="BJ3:BJ4"/>
    <mergeCell ref="BI5:BI6"/>
    <mergeCell ref="BJ5:BJ6"/>
    <mergeCell ref="AS1:AS2"/>
    <mergeCell ref="AS5:AS6"/>
    <mergeCell ref="BA5:BA6"/>
    <mergeCell ref="BB5:BB6"/>
    <mergeCell ref="AP5:AP6"/>
    <mergeCell ref="AQ5:AQ6"/>
    <mergeCell ref="AT5:AT6"/>
    <mergeCell ref="AU5:AU6"/>
    <mergeCell ref="AW5:AW6"/>
    <mergeCell ref="AX5:AX6"/>
    <mergeCell ref="AY5:AY6"/>
    <mergeCell ref="BU5:BU6"/>
    <mergeCell ref="BV5:BV6"/>
    <mergeCell ref="BU7:BW9"/>
    <mergeCell ref="BU10:BV10"/>
    <mergeCell ref="BU11:BW11"/>
    <mergeCell ref="BV3:BV4"/>
    <mergeCell ref="BW3:BW4"/>
    <mergeCell ref="BK5:BK6"/>
    <mergeCell ref="BM5:BM6"/>
    <mergeCell ref="BN5:BN6"/>
    <mergeCell ref="BO5:BO6"/>
    <mergeCell ref="BQ5:BQ6"/>
    <mergeCell ref="BW5:BW6"/>
    <mergeCell ref="Y5:Y6"/>
    <mergeCell ref="Z5:Z6"/>
    <mergeCell ref="U7:W9"/>
    <mergeCell ref="Y7:AA9"/>
    <mergeCell ref="AC7:AE9"/>
    <mergeCell ref="AH5:AH6"/>
    <mergeCell ref="AI5:AI6"/>
    <mergeCell ref="AK7:AM9"/>
    <mergeCell ref="AS7:AU9"/>
    <mergeCell ref="AW7:AY9"/>
    <mergeCell ref="BA7:BC9"/>
    <mergeCell ref="BE7:BG9"/>
    <mergeCell ref="AS11:AU11"/>
    <mergeCell ref="AW11:AY11"/>
    <mergeCell ref="M10:N10"/>
    <mergeCell ref="M11:O11"/>
    <mergeCell ref="Q11:S11"/>
    <mergeCell ref="U11:W11"/>
    <mergeCell ref="Y11:AA11"/>
    <mergeCell ref="AC11:AE11"/>
    <mergeCell ref="AK11:AM11"/>
    <mergeCell ref="J3:J4"/>
    <mergeCell ref="U3:U4"/>
    <mergeCell ref="V3:V4"/>
    <mergeCell ref="W3:W4"/>
    <mergeCell ref="U5:U6"/>
    <mergeCell ref="V5:V6"/>
    <mergeCell ref="W5:W6"/>
    <mergeCell ref="K3:K4"/>
    <mergeCell ref="M7:O9"/>
    <mergeCell ref="Q7:S9"/>
    <mergeCell ref="Q10:R10"/>
    <mergeCell ref="U10:V10"/>
    <mergeCell ref="Y10:Z10"/>
    <mergeCell ref="AC10:AD10"/>
    <mergeCell ref="J12:J13"/>
    <mergeCell ref="K12:K13"/>
    <mergeCell ref="M12:M13"/>
    <mergeCell ref="N12:N13"/>
    <mergeCell ref="O12:O13"/>
    <mergeCell ref="Q12:Q13"/>
    <mergeCell ref="R12:R13"/>
    <mergeCell ref="S12:S13"/>
    <mergeCell ref="U12:U13"/>
    <mergeCell ref="V12:V13"/>
    <mergeCell ref="W12:W13"/>
    <mergeCell ref="Y12:Y13"/>
    <mergeCell ref="Z12:Z13"/>
    <mergeCell ref="AA12:AA13"/>
    <mergeCell ref="BC3:BC4"/>
    <mergeCell ref="BE3:BE4"/>
    <mergeCell ref="AS12:AS13"/>
    <mergeCell ref="AT12:AT13"/>
    <mergeCell ref="AU12:AU13"/>
    <mergeCell ref="AW12:AW13"/>
    <mergeCell ref="AX12:AX13"/>
    <mergeCell ref="AY12:AY13"/>
    <mergeCell ref="BA12:BA13"/>
    <mergeCell ref="BB12:BB13"/>
    <mergeCell ref="BF12:BF13"/>
    <mergeCell ref="BG12:BG13"/>
    <mergeCell ref="BI12:BI13"/>
    <mergeCell ref="BJ12:BJ13"/>
    <mergeCell ref="BM12:BM13"/>
    <mergeCell ref="BN12:BN13"/>
    <mergeCell ref="BO12:BO13"/>
    <mergeCell ref="BS3:BS4"/>
    <mergeCell ref="BU3:BU4"/>
    <mergeCell ref="BY3:BY4"/>
    <mergeCell ref="BZ3:BZ4"/>
    <mergeCell ref="CA3:CA4"/>
    <mergeCell ref="CC3:CC4"/>
    <mergeCell ref="CD3:CD4"/>
    <mergeCell ref="CE3:CE4"/>
    <mergeCell ref="CG3:CG4"/>
    <mergeCell ref="CH3:CH4"/>
    <mergeCell ref="CI3:CI4"/>
    <mergeCell ref="BY5:BY6"/>
    <mergeCell ref="BZ5:BZ6"/>
    <mergeCell ref="CA5:CA6"/>
    <mergeCell ref="CC5:CC6"/>
    <mergeCell ref="CD5:CD6"/>
    <mergeCell ref="CE5:CE6"/>
    <mergeCell ref="CG5:CG6"/>
    <mergeCell ref="CH5:CH6"/>
    <mergeCell ref="CI5:CI6"/>
    <mergeCell ref="CG7:CI9"/>
    <mergeCell ref="CG10:CH10"/>
    <mergeCell ref="AI26:AI27"/>
    <mergeCell ref="AG28:AI30"/>
    <mergeCell ref="AG56:AI58"/>
    <mergeCell ref="AG59:AH59"/>
    <mergeCell ref="AG60:AI60"/>
    <mergeCell ref="AG61:AG62"/>
    <mergeCell ref="AH61:AH62"/>
    <mergeCell ref="AI61:AI62"/>
    <mergeCell ref="AG63:AI65"/>
    <mergeCell ref="AG66:AH66"/>
    <mergeCell ref="AG67:AI67"/>
    <mergeCell ref="AG68:AG69"/>
    <mergeCell ref="AH68:AH69"/>
    <mergeCell ref="AI68:AI69"/>
    <mergeCell ref="AG70:AI72"/>
    <mergeCell ref="AG73:AH73"/>
    <mergeCell ref="AG1:AG2"/>
    <mergeCell ref="AH1:AI2"/>
    <mergeCell ref="AJ1:AJ80"/>
    <mergeCell ref="AG3:AG4"/>
    <mergeCell ref="AH3:AH4"/>
    <mergeCell ref="AI3:AI4"/>
    <mergeCell ref="AG5:AG6"/>
    <mergeCell ref="AM61:AM62"/>
    <mergeCell ref="AK63:AM65"/>
    <mergeCell ref="AC60:AE60"/>
    <mergeCell ref="AC61:AC62"/>
    <mergeCell ref="AD61:AD62"/>
    <mergeCell ref="AE61:AE62"/>
    <mergeCell ref="AK61:AK62"/>
    <mergeCell ref="AL61:AL62"/>
    <mergeCell ref="AC63:AE65"/>
    <mergeCell ref="AK68:AK69"/>
    <mergeCell ref="AL68:AL69"/>
    <mergeCell ref="AK70:AM72"/>
    <mergeCell ref="AK73:AL73"/>
    <mergeCell ref="AK82:AK83"/>
    <mergeCell ref="AL82:AM83"/>
    <mergeCell ref="AE68:AE69"/>
    <mergeCell ref="AC70:AE72"/>
    <mergeCell ref="AC73:AD73"/>
    <mergeCell ref="AC82:AC83"/>
    <mergeCell ref="AD82:AE83"/>
    <mergeCell ref="AG82:AG83"/>
    <mergeCell ref="AH82:AI83"/>
    <mergeCell ref="AC66:AD66"/>
    <mergeCell ref="AK66:AL66"/>
    <mergeCell ref="AC67:AE67"/>
    <mergeCell ref="AK67:AM67"/>
    <mergeCell ref="AC68:AC69"/>
    <mergeCell ref="AD68:AD69"/>
    <mergeCell ref="AM68:AM69"/>
    <mergeCell ref="AG17:AH17"/>
    <mergeCell ref="AG18:AI18"/>
    <mergeCell ref="AG19:AG20"/>
    <mergeCell ref="AH19:AH20"/>
    <mergeCell ref="AI19:AI20"/>
    <mergeCell ref="AG21:AI23"/>
    <mergeCell ref="AG24:AH24"/>
    <mergeCell ref="AG25:AI25"/>
    <mergeCell ref="AG26:AG27"/>
    <mergeCell ref="AH26:AH27"/>
    <mergeCell ref="AG31:AH31"/>
    <mergeCell ref="AG32:AI32"/>
    <mergeCell ref="AG33:AG34"/>
    <mergeCell ref="AH33:AH34"/>
    <mergeCell ref="AC56:AE58"/>
    <mergeCell ref="AK56:AM58"/>
    <mergeCell ref="AC59:AD59"/>
    <mergeCell ref="AK59:AL59"/>
    <mergeCell ref="AK60:AM60"/>
    <mergeCell ref="BY10:BZ10"/>
    <mergeCell ref="CC10:CD10"/>
    <mergeCell ref="BY11:CA11"/>
    <mergeCell ref="CC11:CE11"/>
    <mergeCell ref="BQ12:BQ13"/>
    <mergeCell ref="BR12:BR13"/>
    <mergeCell ref="BS12:BS13"/>
    <mergeCell ref="BU12:BU13"/>
    <mergeCell ref="BV12:BV13"/>
    <mergeCell ref="BW12:BW13"/>
    <mergeCell ref="BY12:BY13"/>
    <mergeCell ref="BZ12:BZ13"/>
    <mergeCell ref="CA12:CA13"/>
    <mergeCell ref="CC12:CC13"/>
    <mergeCell ref="BY7:CA9"/>
    <mergeCell ref="CC7:CE9"/>
    <mergeCell ref="CD12:CD13"/>
    <mergeCell ref="CE12:CE13"/>
    <mergeCell ref="BU14:BW16"/>
    <mergeCell ref="BY14:CA16"/>
    <mergeCell ref="CC14:CE16"/>
    <mergeCell ref="BU17:BV17"/>
    <mergeCell ref="BY17:BZ17"/>
    <mergeCell ref="CC17:CD17"/>
    <mergeCell ref="BU18:BW18"/>
    <mergeCell ref="BY18:CA18"/>
    <mergeCell ref="CC19:CC20"/>
    <mergeCell ref="CD19:CD20"/>
    <mergeCell ref="CC18:CE18"/>
    <mergeCell ref="BU19:BU20"/>
    <mergeCell ref="BV19:BV20"/>
    <mergeCell ref="BW19:BW20"/>
    <mergeCell ref="BY19:BY20"/>
    <mergeCell ref="BZ19:BZ20"/>
    <mergeCell ref="CA19:CA20"/>
    <mergeCell ref="CE19:CE20"/>
    <mergeCell ref="BU21:BW23"/>
    <mergeCell ref="BY21:CA23"/>
    <mergeCell ref="CC21:CE23"/>
    <mergeCell ref="BU24:BV24"/>
    <mergeCell ref="BY24:BZ24"/>
    <mergeCell ref="CC24:CD24"/>
    <mergeCell ref="BU25:BW25"/>
    <mergeCell ref="BY25:CA25"/>
    <mergeCell ref="CC26:CC27"/>
    <mergeCell ref="CD26:CD27"/>
    <mergeCell ref="CC25:CE25"/>
    <mergeCell ref="BU26:BU27"/>
    <mergeCell ref="BV26:BV27"/>
    <mergeCell ref="BW26:BW27"/>
    <mergeCell ref="BY26:BY27"/>
    <mergeCell ref="BZ26:BZ27"/>
    <mergeCell ref="CA26:CA27"/>
    <mergeCell ref="BU31:BV31"/>
    <mergeCell ref="BY31:BZ31"/>
    <mergeCell ref="CC31:CD31"/>
    <mergeCell ref="BU32:BW32"/>
    <mergeCell ref="BY32:CA32"/>
    <mergeCell ref="CC32:CE32"/>
    <mergeCell ref="BQ54:BQ55"/>
    <mergeCell ref="BR54:BR55"/>
    <mergeCell ref="BS54:BS55"/>
    <mergeCell ref="BU54:BU55"/>
    <mergeCell ref="BV54:BV55"/>
    <mergeCell ref="BW54:BW55"/>
    <mergeCell ref="BY54:BY55"/>
    <mergeCell ref="BZ54:BZ55"/>
    <mergeCell ref="CA54:CA55"/>
    <mergeCell ref="CC54:CC55"/>
    <mergeCell ref="CD54:CD55"/>
    <mergeCell ref="CE54:CE55"/>
    <mergeCell ref="CG54:CG55"/>
    <mergeCell ref="CH54:CH55"/>
    <mergeCell ref="CI54:CI55"/>
    <mergeCell ref="CG56:CI58"/>
    <mergeCell ref="CG59:CH59"/>
    <mergeCell ref="CG60:CI60"/>
    <mergeCell ref="BQ56:BS58"/>
    <mergeCell ref="BU56:BW58"/>
    <mergeCell ref="BY56:CA58"/>
    <mergeCell ref="CC56:CE58"/>
    <mergeCell ref="BQ59:BR59"/>
    <mergeCell ref="BU59:BV59"/>
    <mergeCell ref="BY59:BZ59"/>
    <mergeCell ref="CC59:CD59"/>
    <mergeCell ref="BQ60:BS60"/>
    <mergeCell ref="BU60:BW60"/>
    <mergeCell ref="BY60:CA60"/>
    <mergeCell ref="CC60:CE60"/>
    <mergeCell ref="CG61:CG62"/>
    <mergeCell ref="CH61:CH62"/>
    <mergeCell ref="CI61:CI62"/>
    <mergeCell ref="BQ61:BQ62"/>
    <mergeCell ref="BR61:BR62"/>
    <mergeCell ref="BS61:BS62"/>
    <mergeCell ref="BU61:BU62"/>
    <mergeCell ref="BV61:BV62"/>
    <mergeCell ref="BW61:BW62"/>
    <mergeCell ref="BY61:BY62"/>
    <mergeCell ref="BZ61:BZ62"/>
    <mergeCell ref="CA61:CA62"/>
    <mergeCell ref="CC61:CC62"/>
    <mergeCell ref="CD61:CD62"/>
    <mergeCell ref="CE61:CE62"/>
    <mergeCell ref="BQ63:BS65"/>
    <mergeCell ref="BU63:BW65"/>
    <mergeCell ref="BY63:CA65"/>
    <mergeCell ref="CC63:CE65"/>
    <mergeCell ref="CG63:CI65"/>
    <mergeCell ref="CG66:CH66"/>
    <mergeCell ref="CG67:CI67"/>
    <mergeCell ref="BQ66:BR66"/>
    <mergeCell ref="BU66:BV66"/>
    <mergeCell ref="BY66:BZ66"/>
    <mergeCell ref="CC66:CD66"/>
    <mergeCell ref="BQ67:BS67"/>
    <mergeCell ref="BU67:BW67"/>
    <mergeCell ref="BY67:CA67"/>
    <mergeCell ref="CC67:CE67"/>
    <mergeCell ref="BQ68:BQ69"/>
    <mergeCell ref="BR68:BR69"/>
    <mergeCell ref="BS68:BS69"/>
    <mergeCell ref="BU68:BU69"/>
    <mergeCell ref="BV68:BV69"/>
    <mergeCell ref="BW68:BW69"/>
    <mergeCell ref="CG68:CG69"/>
    <mergeCell ref="CH68:CH69"/>
    <mergeCell ref="CI68:CI69"/>
    <mergeCell ref="CG70:CI72"/>
    <mergeCell ref="CG73:CH73"/>
    <mergeCell ref="E3:E4"/>
    <mergeCell ref="F3:F4"/>
    <mergeCell ref="I1:I2"/>
    <mergeCell ref="I3:I4"/>
    <mergeCell ref="I5:I6"/>
    <mergeCell ref="I12:I13"/>
    <mergeCell ref="B1:C4"/>
    <mergeCell ref="B5:C8"/>
    <mergeCell ref="D5:D8"/>
    <mergeCell ref="E5:E6"/>
    <mergeCell ref="F5:F6"/>
    <mergeCell ref="G5:G6"/>
    <mergeCell ref="E7:G9"/>
    <mergeCell ref="E10:F10"/>
    <mergeCell ref="A11:D11"/>
    <mergeCell ref="E11:G11"/>
    <mergeCell ref="A12:A17"/>
    <mergeCell ref="B12:C15"/>
    <mergeCell ref="D12:D15"/>
    <mergeCell ref="E12:E13"/>
    <mergeCell ref="F12:F13"/>
    <mergeCell ref="G12:G13"/>
    <mergeCell ref="E14:G16"/>
    <mergeCell ref="E17:F17"/>
    <mergeCell ref="A18:D18"/>
    <mergeCell ref="E18:G18"/>
    <mergeCell ref="D19:D22"/>
    <mergeCell ref="E19:E20"/>
    <mergeCell ref="F19:F20"/>
    <mergeCell ref="G19:G20"/>
    <mergeCell ref="I19:I20"/>
    <mergeCell ref="I26:I27"/>
    <mergeCell ref="A19:A24"/>
    <mergeCell ref="B19:C22"/>
    <mergeCell ref="E21:G23"/>
    <mergeCell ref="E24:F24"/>
    <mergeCell ref="A25:D25"/>
    <mergeCell ref="E25:G25"/>
    <mergeCell ref="D26:D29"/>
    <mergeCell ref="E26:E27"/>
    <mergeCell ref="F26:F27"/>
    <mergeCell ref="G26:G27"/>
    <mergeCell ref="E28:G30"/>
    <mergeCell ref="E31:F31"/>
    <mergeCell ref="A32:D32"/>
    <mergeCell ref="E32:G32"/>
    <mergeCell ref="I33:I34"/>
    <mergeCell ref="A40:A45"/>
    <mergeCell ref="B40:C43"/>
    <mergeCell ref="F40:F41"/>
    <mergeCell ref="G40:G41"/>
    <mergeCell ref="E42:G44"/>
    <mergeCell ref="E45:F45"/>
    <mergeCell ref="A46:D46"/>
    <mergeCell ref="E46:G46"/>
    <mergeCell ref="D47:D50"/>
    <mergeCell ref="E47:E48"/>
    <mergeCell ref="F47:F48"/>
    <mergeCell ref="G47:G48"/>
    <mergeCell ref="E49:G51"/>
    <mergeCell ref="E52:F52"/>
    <mergeCell ref="I54:I55"/>
    <mergeCell ref="A47:A52"/>
    <mergeCell ref="B47:C50"/>
    <mergeCell ref="A53:D53"/>
    <mergeCell ref="E53:G53"/>
    <mergeCell ref="A54:A59"/>
    <mergeCell ref="B54:C57"/>
    <mergeCell ref="D54:D57"/>
    <mergeCell ref="E54:E55"/>
    <mergeCell ref="F54:F55"/>
    <mergeCell ref="G54:G55"/>
    <mergeCell ref="E56:G58"/>
    <mergeCell ref="E59:F59"/>
    <mergeCell ref="A60:D60"/>
    <mergeCell ref="E60:G60"/>
    <mergeCell ref="I61:I62"/>
    <mergeCell ref="A61:A66"/>
    <mergeCell ref="B61:C64"/>
    <mergeCell ref="D61:D64"/>
    <mergeCell ref="E61:E62"/>
    <mergeCell ref="F61:F62"/>
    <mergeCell ref="G61:G62"/>
    <mergeCell ref="E63:G65"/>
    <mergeCell ref="E66:F66"/>
    <mergeCell ref="A67:D67"/>
    <mergeCell ref="E67:G67"/>
    <mergeCell ref="D68:D71"/>
    <mergeCell ref="E68:E69"/>
    <mergeCell ref="F68:F69"/>
    <mergeCell ref="G68:G69"/>
    <mergeCell ref="I68:I69"/>
    <mergeCell ref="E86:E87"/>
    <mergeCell ref="F86:F87"/>
    <mergeCell ref="E77:G79"/>
    <mergeCell ref="E80:F80"/>
    <mergeCell ref="E82:E83"/>
    <mergeCell ref="F82:G83"/>
    <mergeCell ref="E84:E85"/>
    <mergeCell ref="F84:F85"/>
    <mergeCell ref="G84:G85"/>
    <mergeCell ref="A26:A31"/>
    <mergeCell ref="B26:C29"/>
    <mergeCell ref="A33:A38"/>
    <mergeCell ref="B33:C36"/>
    <mergeCell ref="D33:D36"/>
    <mergeCell ref="E33:E34"/>
    <mergeCell ref="F33:F34"/>
    <mergeCell ref="G33:G34"/>
    <mergeCell ref="E35:G37"/>
    <mergeCell ref="E38:F38"/>
    <mergeCell ref="A39:D39"/>
    <mergeCell ref="E39:G39"/>
    <mergeCell ref="D40:D43"/>
    <mergeCell ref="E40:E41"/>
    <mergeCell ref="I40:I41"/>
    <mergeCell ref="I47:I48"/>
    <mergeCell ref="F93:F94"/>
    <mergeCell ref="G93:G94"/>
    <mergeCell ref="F75:F76"/>
    <mergeCell ref="G75:G76"/>
    <mergeCell ref="G86:G87"/>
    <mergeCell ref="E88:G90"/>
    <mergeCell ref="E91:F91"/>
    <mergeCell ref="E92:G92"/>
    <mergeCell ref="E93:E94"/>
    <mergeCell ref="A68:A73"/>
    <mergeCell ref="B68:C71"/>
    <mergeCell ref="E70:G72"/>
    <mergeCell ref="E73:F73"/>
    <mergeCell ref="A74:D74"/>
    <mergeCell ref="E74:G74"/>
    <mergeCell ref="D75:D78"/>
    <mergeCell ref="E75:E76"/>
    <mergeCell ref="A1:A4"/>
    <mergeCell ref="D1:D4"/>
    <mergeCell ref="E1:E2"/>
    <mergeCell ref="F1:G2"/>
    <mergeCell ref="H1:H80"/>
    <mergeCell ref="G3:G4"/>
    <mergeCell ref="A5:A10"/>
    <mergeCell ref="A81:D81"/>
    <mergeCell ref="A75:A80"/>
    <mergeCell ref="B75:C78"/>
    <mergeCell ref="A82:A85"/>
    <mergeCell ref="B82:C85"/>
    <mergeCell ref="D82:D85"/>
    <mergeCell ref="A86:A91"/>
    <mergeCell ref="D86:D89"/>
    <mergeCell ref="B86:C89"/>
    <mergeCell ref="A92:D92"/>
    <mergeCell ref="A93:A98"/>
    <mergeCell ref="B93:C96"/>
    <mergeCell ref="D93:D96"/>
    <mergeCell ref="E95:G97"/>
    <mergeCell ref="E98:F98"/>
    <mergeCell ref="G100:G101"/>
    <mergeCell ref="E102:G104"/>
    <mergeCell ref="A99:D99"/>
    <mergeCell ref="E99:G99"/>
    <mergeCell ref="A100:A105"/>
    <mergeCell ref="B100:C103"/>
    <mergeCell ref="D100:D103"/>
    <mergeCell ref="E100:E101"/>
    <mergeCell ref="F100:F101"/>
    <mergeCell ref="F107:F108"/>
    <mergeCell ref="G107:G108"/>
    <mergeCell ref="E109:G111"/>
    <mergeCell ref="E112:F112"/>
    <mergeCell ref="E105:F105"/>
    <mergeCell ref="A106:D106"/>
    <mergeCell ref="E106:G106"/>
    <mergeCell ref="A107:A112"/>
    <mergeCell ref="B107:C110"/>
    <mergeCell ref="D107:D110"/>
    <mergeCell ref="E107:E108"/>
    <mergeCell ref="G114:G115"/>
    <mergeCell ref="E116:G118"/>
    <mergeCell ref="F121:F122"/>
    <mergeCell ref="G121:G122"/>
    <mergeCell ref="A113:D113"/>
    <mergeCell ref="E113:G113"/>
    <mergeCell ref="A114:A119"/>
    <mergeCell ref="B114:C117"/>
    <mergeCell ref="D114:D117"/>
    <mergeCell ref="E114:E115"/>
    <mergeCell ref="F114:F115"/>
    <mergeCell ref="I121:I122"/>
    <mergeCell ref="J121:J122"/>
    <mergeCell ref="K121:K122"/>
    <mergeCell ref="E123:G125"/>
    <mergeCell ref="E126:F126"/>
    <mergeCell ref="E119:F119"/>
    <mergeCell ref="A120:D120"/>
    <mergeCell ref="E120:G120"/>
    <mergeCell ref="A121:A126"/>
    <mergeCell ref="B121:C124"/>
    <mergeCell ref="D121:D124"/>
    <mergeCell ref="E121:E122"/>
    <mergeCell ref="G128:G129"/>
    <mergeCell ref="E130:G132"/>
    <mergeCell ref="A127:D127"/>
    <mergeCell ref="E127:G127"/>
    <mergeCell ref="A128:A133"/>
    <mergeCell ref="B128:C131"/>
    <mergeCell ref="D128:D131"/>
    <mergeCell ref="E128:E129"/>
    <mergeCell ref="F128:F129"/>
    <mergeCell ref="F135:F136"/>
    <mergeCell ref="G135:G136"/>
    <mergeCell ref="E137:G139"/>
    <mergeCell ref="E140:F140"/>
    <mergeCell ref="E133:F133"/>
    <mergeCell ref="A134:D134"/>
    <mergeCell ref="E134:G134"/>
    <mergeCell ref="A135:A140"/>
    <mergeCell ref="B135:C138"/>
    <mergeCell ref="D135:D138"/>
    <mergeCell ref="E135:E136"/>
    <mergeCell ref="G142:G143"/>
    <mergeCell ref="E144:G146"/>
    <mergeCell ref="A141:D141"/>
    <mergeCell ref="E141:G141"/>
    <mergeCell ref="A142:A147"/>
    <mergeCell ref="B142:C145"/>
    <mergeCell ref="D142:D145"/>
    <mergeCell ref="E142:E143"/>
    <mergeCell ref="F142:F143"/>
    <mergeCell ref="F149:F150"/>
    <mergeCell ref="G149:G150"/>
    <mergeCell ref="E151:G153"/>
    <mergeCell ref="E154:F154"/>
    <mergeCell ref="E147:F147"/>
    <mergeCell ref="A148:D148"/>
    <mergeCell ref="E148:G148"/>
    <mergeCell ref="A149:A154"/>
    <mergeCell ref="B149:C152"/>
    <mergeCell ref="D149:D152"/>
    <mergeCell ref="E149:E150"/>
    <mergeCell ref="G156:G157"/>
    <mergeCell ref="E158:G160"/>
    <mergeCell ref="A155:D155"/>
    <mergeCell ref="E155:G155"/>
    <mergeCell ref="A156:A161"/>
    <mergeCell ref="B156:C159"/>
    <mergeCell ref="D156:D159"/>
    <mergeCell ref="E156:E157"/>
    <mergeCell ref="F156:F157"/>
    <mergeCell ref="E161:F161"/>
    <mergeCell ref="A162:D162"/>
    <mergeCell ref="B163:C166"/>
    <mergeCell ref="D163:D166"/>
    <mergeCell ref="E163:E164"/>
    <mergeCell ref="F163:G164"/>
    <mergeCell ref="G165:G166"/>
    <mergeCell ref="K167:K168"/>
    <mergeCell ref="I169:K171"/>
    <mergeCell ref="I172:J172"/>
    <mergeCell ref="I173:K173"/>
    <mergeCell ref="I174:I175"/>
    <mergeCell ref="J174:J175"/>
    <mergeCell ref="K174:K175"/>
    <mergeCell ref="E165:E166"/>
    <mergeCell ref="F165:F166"/>
    <mergeCell ref="I165:I166"/>
    <mergeCell ref="J165:J166"/>
    <mergeCell ref="K165:K166"/>
    <mergeCell ref="I167:I168"/>
    <mergeCell ref="J167:J168"/>
    <mergeCell ref="E169:G171"/>
    <mergeCell ref="E172:F172"/>
    <mergeCell ref="A163:A166"/>
    <mergeCell ref="A167:A172"/>
    <mergeCell ref="B167:C170"/>
    <mergeCell ref="D167:D170"/>
    <mergeCell ref="E167:E168"/>
    <mergeCell ref="F167:F168"/>
    <mergeCell ref="G167:G168"/>
    <mergeCell ref="J202:J203"/>
    <mergeCell ref="K202:K203"/>
    <mergeCell ref="I204:K206"/>
    <mergeCell ref="I207:J207"/>
    <mergeCell ref="I208:K208"/>
    <mergeCell ref="E204:G206"/>
    <mergeCell ref="E207:F207"/>
    <mergeCell ref="A202:A207"/>
    <mergeCell ref="B202:C205"/>
    <mergeCell ref="D202:D205"/>
    <mergeCell ref="E202:E203"/>
    <mergeCell ref="F202:F203"/>
    <mergeCell ref="G202:G203"/>
    <mergeCell ref="I202:I203"/>
    <mergeCell ref="G209:G210"/>
    <mergeCell ref="E211:G213"/>
    <mergeCell ref="A208:D208"/>
    <mergeCell ref="E208:G208"/>
    <mergeCell ref="A209:A214"/>
    <mergeCell ref="B209:C212"/>
    <mergeCell ref="D209:D212"/>
    <mergeCell ref="E209:E210"/>
    <mergeCell ref="F209:F210"/>
    <mergeCell ref="F216:F217"/>
    <mergeCell ref="G216:G217"/>
    <mergeCell ref="A222:D222"/>
    <mergeCell ref="E222:G222"/>
    <mergeCell ref="E218:G220"/>
    <mergeCell ref="E221:F221"/>
    <mergeCell ref="E214:F214"/>
    <mergeCell ref="A215:D215"/>
    <mergeCell ref="E215:G215"/>
    <mergeCell ref="A216:A221"/>
    <mergeCell ref="B216:C219"/>
    <mergeCell ref="D216:D219"/>
    <mergeCell ref="E216:E217"/>
    <mergeCell ref="A223:A228"/>
    <mergeCell ref="B223:C226"/>
    <mergeCell ref="D223:D226"/>
    <mergeCell ref="E223:E224"/>
    <mergeCell ref="F223:F224"/>
    <mergeCell ref="G223:G224"/>
    <mergeCell ref="E225:G227"/>
    <mergeCell ref="F230:F231"/>
    <mergeCell ref="G230:G231"/>
    <mergeCell ref="E232:G234"/>
    <mergeCell ref="E235:F235"/>
    <mergeCell ref="A236:D236"/>
    <mergeCell ref="E236:G236"/>
    <mergeCell ref="I236:K236"/>
    <mergeCell ref="E228:F228"/>
    <mergeCell ref="A229:D229"/>
    <mergeCell ref="E229:G229"/>
    <mergeCell ref="A230:A235"/>
    <mergeCell ref="B230:C233"/>
    <mergeCell ref="D230:D233"/>
    <mergeCell ref="E230:E231"/>
    <mergeCell ref="K100:K101"/>
    <mergeCell ref="I102:K104"/>
    <mergeCell ref="I107:I108"/>
    <mergeCell ref="J107:J108"/>
    <mergeCell ref="K107:K108"/>
    <mergeCell ref="I109:K111"/>
    <mergeCell ref="I112:J112"/>
    <mergeCell ref="I113:K113"/>
    <mergeCell ref="I114:I115"/>
    <mergeCell ref="J114:J115"/>
    <mergeCell ref="K114:K115"/>
    <mergeCell ref="I116:K118"/>
    <mergeCell ref="N156:N157"/>
    <mergeCell ref="M161:N161"/>
    <mergeCell ref="M163:M164"/>
    <mergeCell ref="M142:M143"/>
    <mergeCell ref="N142:N143"/>
    <mergeCell ref="M147:N147"/>
    <mergeCell ref="M149:M150"/>
    <mergeCell ref="N149:N150"/>
    <mergeCell ref="M154:N154"/>
    <mergeCell ref="M156:M157"/>
    <mergeCell ref="I119:J119"/>
    <mergeCell ref="I123:K125"/>
    <mergeCell ref="J68:J69"/>
    <mergeCell ref="K68:K69"/>
    <mergeCell ref="H82:H161"/>
    <mergeCell ref="I82:I83"/>
    <mergeCell ref="J82:K83"/>
    <mergeCell ref="L82:L161"/>
    <mergeCell ref="I84:I85"/>
    <mergeCell ref="I161:J161"/>
    <mergeCell ref="K156:K157"/>
    <mergeCell ref="I158:K160"/>
    <mergeCell ref="J163:K164"/>
    <mergeCell ref="Q176:S178"/>
    <mergeCell ref="Q179:R179"/>
    <mergeCell ref="I180:K180"/>
    <mergeCell ref="M180:O180"/>
    <mergeCell ref="M179:N179"/>
    <mergeCell ref="I181:I182"/>
    <mergeCell ref="J181:J182"/>
    <mergeCell ref="K181:K182"/>
    <mergeCell ref="M181:M182"/>
    <mergeCell ref="N181:N182"/>
    <mergeCell ref="O181:O182"/>
    <mergeCell ref="Q181:Q182"/>
    <mergeCell ref="R181:R182"/>
    <mergeCell ref="S181:S182"/>
    <mergeCell ref="I183:K185"/>
    <mergeCell ref="M183:O185"/>
    <mergeCell ref="K142:K143"/>
    <mergeCell ref="I144:K146"/>
    <mergeCell ref="I147:J147"/>
    <mergeCell ref="I148:K148"/>
    <mergeCell ref="I149:I150"/>
    <mergeCell ref="J149:J150"/>
    <mergeCell ref="K149:K150"/>
    <mergeCell ref="I151:K153"/>
    <mergeCell ref="I154:J154"/>
    <mergeCell ref="I155:K155"/>
    <mergeCell ref="U181:U182"/>
    <mergeCell ref="Q183:S185"/>
    <mergeCell ref="U183:W185"/>
    <mergeCell ref="U186:V186"/>
    <mergeCell ref="U187:W187"/>
    <mergeCell ref="U188:U189"/>
    <mergeCell ref="V188:V189"/>
    <mergeCell ref="W188:W189"/>
    <mergeCell ref="I176:K178"/>
    <mergeCell ref="M176:O178"/>
    <mergeCell ref="U176:W178"/>
    <mergeCell ref="U179:V179"/>
    <mergeCell ref="U180:W180"/>
    <mergeCell ref="V181:V182"/>
    <mergeCell ref="W181:W182"/>
    <mergeCell ref="I163:I164"/>
    <mergeCell ref="I179:J179"/>
    <mergeCell ref="I186:J186"/>
    <mergeCell ref="M186:N186"/>
    <mergeCell ref="Q186:R186"/>
    <mergeCell ref="I187:K187"/>
    <mergeCell ref="M187:O187"/>
    <mergeCell ref="Q188:Q189"/>
    <mergeCell ref="R188:R189"/>
    <mergeCell ref="Q187:S187"/>
    <mergeCell ref="I188:I189"/>
    <mergeCell ref="J188:J189"/>
    <mergeCell ref="K188:K189"/>
    <mergeCell ref="M188:M189"/>
    <mergeCell ref="N188:N189"/>
    <mergeCell ref="O188:O189"/>
    <mergeCell ref="J209:J210"/>
    <mergeCell ref="K209:K210"/>
    <mergeCell ref="M209:M210"/>
    <mergeCell ref="N209:N210"/>
    <mergeCell ref="Q215:S215"/>
    <mergeCell ref="I216:I217"/>
    <mergeCell ref="J216:J217"/>
    <mergeCell ref="K216:K217"/>
    <mergeCell ref="M216:M217"/>
    <mergeCell ref="N216:N217"/>
    <mergeCell ref="O216:O217"/>
    <mergeCell ref="S216:S217"/>
    <mergeCell ref="I218:K220"/>
    <mergeCell ref="M218:O220"/>
    <mergeCell ref="Q218:S220"/>
    <mergeCell ref="I221:J221"/>
    <mergeCell ref="M221:N221"/>
    <mergeCell ref="Q221:R221"/>
    <mergeCell ref="I222:K222"/>
    <mergeCell ref="M222:O222"/>
    <mergeCell ref="Q223:Q224"/>
    <mergeCell ref="R223:R224"/>
    <mergeCell ref="Q222:S222"/>
    <mergeCell ref="I223:I224"/>
    <mergeCell ref="J223:J224"/>
    <mergeCell ref="K223:K224"/>
    <mergeCell ref="M223:M224"/>
    <mergeCell ref="N223:N224"/>
    <mergeCell ref="O223:O224"/>
    <mergeCell ref="I228:J228"/>
    <mergeCell ref="M228:N228"/>
    <mergeCell ref="U232:W234"/>
    <mergeCell ref="U235:V235"/>
    <mergeCell ref="U223:U224"/>
    <mergeCell ref="V223:V224"/>
    <mergeCell ref="U225:W227"/>
    <mergeCell ref="U228:V228"/>
    <mergeCell ref="U229:W229"/>
    <mergeCell ref="U230:U231"/>
    <mergeCell ref="V230:V231"/>
    <mergeCell ref="K246:K247"/>
    <mergeCell ref="M246:M247"/>
    <mergeCell ref="I248:I249"/>
    <mergeCell ref="J248:J249"/>
    <mergeCell ref="K248:K249"/>
    <mergeCell ref="M248:M249"/>
    <mergeCell ref="N248:N249"/>
    <mergeCell ref="O248:O249"/>
    <mergeCell ref="I253:J253"/>
    <mergeCell ref="M253:N253"/>
    <mergeCell ref="I254:K254"/>
    <mergeCell ref="M254:O254"/>
    <mergeCell ref="I255:I256"/>
    <mergeCell ref="J255:J256"/>
    <mergeCell ref="I250:K252"/>
    <mergeCell ref="M250:O252"/>
    <mergeCell ref="K255:K256"/>
    <mergeCell ref="M255:M256"/>
    <mergeCell ref="N255:N256"/>
    <mergeCell ref="O255:O256"/>
    <mergeCell ref="I260:J260"/>
    <mergeCell ref="M260:N260"/>
    <mergeCell ref="I261:K261"/>
    <mergeCell ref="M261:O261"/>
    <mergeCell ref="I262:I263"/>
    <mergeCell ref="J262:J263"/>
    <mergeCell ref="K262:K263"/>
    <mergeCell ref="M262:M263"/>
    <mergeCell ref="I257:K259"/>
    <mergeCell ref="M257:O259"/>
    <mergeCell ref="N262:N263"/>
    <mergeCell ref="O262:O263"/>
    <mergeCell ref="I267:J267"/>
    <mergeCell ref="M267:N267"/>
    <mergeCell ref="I268:K268"/>
    <mergeCell ref="M268:O268"/>
    <mergeCell ref="I269:I270"/>
    <mergeCell ref="J269:J270"/>
    <mergeCell ref="K269:K270"/>
    <mergeCell ref="M269:M270"/>
    <mergeCell ref="N269:N270"/>
    <mergeCell ref="O269:O270"/>
    <mergeCell ref="I278:K280"/>
    <mergeCell ref="M278:O280"/>
    <mergeCell ref="I235:J235"/>
    <mergeCell ref="M235:N235"/>
    <mergeCell ref="H244:H323"/>
    <mergeCell ref="L244:L323"/>
    <mergeCell ref="P244:P323"/>
    <mergeCell ref="I246:I247"/>
    <mergeCell ref="J246:J247"/>
    <mergeCell ref="I264:K266"/>
    <mergeCell ref="M264:O266"/>
    <mergeCell ref="I271:K273"/>
    <mergeCell ref="M271:O273"/>
    <mergeCell ref="I274:J274"/>
    <mergeCell ref="M274:N274"/>
    <mergeCell ref="I275:K275"/>
    <mergeCell ref="M275:O275"/>
    <mergeCell ref="I276:I277"/>
    <mergeCell ref="J276:J277"/>
    <mergeCell ref="K276:K277"/>
    <mergeCell ref="M276:M277"/>
    <mergeCell ref="N276:N277"/>
    <mergeCell ref="O276:O277"/>
    <mergeCell ref="AL246:AL247"/>
    <mergeCell ref="AM246:AM247"/>
    <mergeCell ref="AU248:AU249"/>
    <mergeCell ref="AW248:AW249"/>
    <mergeCell ref="AX248:AX249"/>
    <mergeCell ref="AY248:AY249"/>
    <mergeCell ref="BA248:BA249"/>
    <mergeCell ref="AG246:AG247"/>
    <mergeCell ref="AH246:AH247"/>
    <mergeCell ref="AG250:AI252"/>
    <mergeCell ref="AO250:AQ252"/>
    <mergeCell ref="AS250:AU252"/>
    <mergeCell ref="AW250:AY252"/>
    <mergeCell ref="AG253:AH253"/>
    <mergeCell ref="AI255:AI256"/>
    <mergeCell ref="AK255:AK256"/>
    <mergeCell ref="AK248:AK249"/>
    <mergeCell ref="AL248:AL249"/>
    <mergeCell ref="AC254:AE254"/>
    <mergeCell ref="AG254:AI254"/>
    <mergeCell ref="AK254:AM254"/>
    <mergeCell ref="AD255:AD256"/>
    <mergeCell ref="AE255:AE256"/>
    <mergeCell ref="AS255:AS256"/>
    <mergeCell ref="AT255:AT256"/>
    <mergeCell ref="AK250:AM252"/>
    <mergeCell ref="AK253:AL253"/>
    <mergeCell ref="AL255:AL256"/>
    <mergeCell ref="AM255:AM256"/>
    <mergeCell ref="AO255:AO256"/>
    <mergeCell ref="AP255:AP256"/>
    <mergeCell ref="AQ255:AQ256"/>
    <mergeCell ref="AW257:AY259"/>
    <mergeCell ref="BA257:BC259"/>
    <mergeCell ref="BA253:BB253"/>
    <mergeCell ref="AW254:AY254"/>
    <mergeCell ref="BA254:BC254"/>
    <mergeCell ref="AY255:AY256"/>
    <mergeCell ref="BA255:BA256"/>
    <mergeCell ref="BB255:BB256"/>
    <mergeCell ref="BC255:BC256"/>
    <mergeCell ref="AG255:AG256"/>
    <mergeCell ref="AH255:AH256"/>
    <mergeCell ref="AC257:AE259"/>
    <mergeCell ref="AG257:AI259"/>
    <mergeCell ref="AK257:AM259"/>
    <mergeCell ref="AG260:AH260"/>
    <mergeCell ref="AK260:AL260"/>
    <mergeCell ref="AC260:AD260"/>
    <mergeCell ref="AC261:AE261"/>
    <mergeCell ref="AG261:AI261"/>
    <mergeCell ref="AK261:AM261"/>
    <mergeCell ref="AD262:AD263"/>
    <mergeCell ref="AE262:AE263"/>
    <mergeCell ref="AG262:AG263"/>
    <mergeCell ref="BA262:BA263"/>
    <mergeCell ref="BB262:BB263"/>
    <mergeCell ref="AQ262:AQ263"/>
    <mergeCell ref="AS262:AS263"/>
    <mergeCell ref="AT262:AT263"/>
    <mergeCell ref="AU262:AU263"/>
    <mergeCell ref="AW262:AW263"/>
    <mergeCell ref="AX262:AX263"/>
    <mergeCell ref="AY262:AY263"/>
    <mergeCell ref="AO264:AQ266"/>
    <mergeCell ref="AO267:AP267"/>
    <mergeCell ref="AP248:AP249"/>
    <mergeCell ref="AQ248:AQ249"/>
    <mergeCell ref="AO253:AP253"/>
    <mergeCell ref="AO254:AQ254"/>
    <mergeCell ref="AO257:AQ259"/>
    <mergeCell ref="AO260:AP260"/>
    <mergeCell ref="AO261:AQ261"/>
    <mergeCell ref="Q257:S259"/>
    <mergeCell ref="U257:W259"/>
    <mergeCell ref="S262:S263"/>
    <mergeCell ref="U262:U263"/>
    <mergeCell ref="V262:V263"/>
    <mergeCell ref="W262:W263"/>
    <mergeCell ref="Q267:R267"/>
    <mergeCell ref="U267:V267"/>
    <mergeCell ref="Q268:S268"/>
    <mergeCell ref="U268:W268"/>
    <mergeCell ref="Q269:Q270"/>
    <mergeCell ref="R269:R270"/>
    <mergeCell ref="S269:S270"/>
    <mergeCell ref="U269:U270"/>
    <mergeCell ref="Q271:S273"/>
    <mergeCell ref="U271:W273"/>
    <mergeCell ref="Q278:S280"/>
    <mergeCell ref="U278:W280"/>
    <mergeCell ref="Q230:Q231"/>
    <mergeCell ref="R230:R231"/>
    <mergeCell ref="Q244:Q245"/>
    <mergeCell ref="R244:S245"/>
    <mergeCell ref="T244:T323"/>
    <mergeCell ref="X244:X323"/>
    <mergeCell ref="S246:S247"/>
    <mergeCell ref="Q264:S266"/>
    <mergeCell ref="U264:W266"/>
    <mergeCell ref="V269:V270"/>
    <mergeCell ref="W269:W270"/>
    <mergeCell ref="Q274:R274"/>
    <mergeCell ref="U274:V274"/>
    <mergeCell ref="Q275:S275"/>
    <mergeCell ref="U275:W275"/>
    <mergeCell ref="Q276:Q277"/>
    <mergeCell ref="R276:R277"/>
    <mergeCell ref="S276:S277"/>
    <mergeCell ref="U276:U277"/>
    <mergeCell ref="V276:V277"/>
    <mergeCell ref="W276:W277"/>
    <mergeCell ref="BI267:BJ267"/>
    <mergeCell ref="BM267:BN267"/>
    <mergeCell ref="BQ267:BR267"/>
    <mergeCell ref="BU267:BV267"/>
    <mergeCell ref="BY267:BZ267"/>
    <mergeCell ref="CC267:CD267"/>
    <mergeCell ref="BI268:BK268"/>
    <mergeCell ref="BM268:BO268"/>
    <mergeCell ref="BQ268:BS268"/>
    <mergeCell ref="BU268:BW268"/>
    <mergeCell ref="BY268:CA268"/>
    <mergeCell ref="CC268:CE268"/>
    <mergeCell ref="BI269:BI270"/>
    <mergeCell ref="BJ269:BJ270"/>
    <mergeCell ref="BK269:BK270"/>
    <mergeCell ref="BM269:BM270"/>
    <mergeCell ref="BN269:BN270"/>
    <mergeCell ref="BO269:BO270"/>
    <mergeCell ref="BQ269:BQ270"/>
    <mergeCell ref="BR269:BR270"/>
    <mergeCell ref="BS269:BS270"/>
    <mergeCell ref="BU269:BU270"/>
    <mergeCell ref="BV269:BV270"/>
    <mergeCell ref="BW269:BW270"/>
    <mergeCell ref="BY269:BY270"/>
    <mergeCell ref="BZ269:BZ270"/>
    <mergeCell ref="CA269:CA270"/>
    <mergeCell ref="CC269:CC270"/>
    <mergeCell ref="BS248:BS249"/>
    <mergeCell ref="BU248:BU249"/>
    <mergeCell ref="BY248:BY249"/>
    <mergeCell ref="BZ248:BZ249"/>
    <mergeCell ref="CA248:CA249"/>
    <mergeCell ref="CC248:CC249"/>
    <mergeCell ref="CD248:CD249"/>
    <mergeCell ref="CE248:CE249"/>
    <mergeCell ref="BI250:BK252"/>
    <mergeCell ref="BM250:BO252"/>
    <mergeCell ref="BQ250:BS252"/>
    <mergeCell ref="BU250:BW252"/>
    <mergeCell ref="BI253:BJ253"/>
    <mergeCell ref="BM253:BN253"/>
    <mergeCell ref="BQ253:BR253"/>
    <mergeCell ref="BU253:BV253"/>
    <mergeCell ref="BY253:BZ253"/>
    <mergeCell ref="CC253:CD253"/>
    <mergeCell ref="BI254:BK254"/>
    <mergeCell ref="BM254:BO254"/>
    <mergeCell ref="BQ254:BS254"/>
    <mergeCell ref="BU254:BW254"/>
    <mergeCell ref="BY254:CA254"/>
    <mergeCell ref="CC254:CE254"/>
    <mergeCell ref="BI255:BI256"/>
    <mergeCell ref="BJ255:BJ256"/>
    <mergeCell ref="BK255:BK256"/>
    <mergeCell ref="BM255:BM256"/>
    <mergeCell ref="BN255:BN256"/>
    <mergeCell ref="BO255:BO256"/>
    <mergeCell ref="BQ255:BQ256"/>
    <mergeCell ref="BR255:BR256"/>
    <mergeCell ref="BS255:BS256"/>
    <mergeCell ref="BU255:BU256"/>
    <mergeCell ref="BV255:BV256"/>
    <mergeCell ref="BW255:BW256"/>
    <mergeCell ref="BY255:BY256"/>
    <mergeCell ref="BZ255:BZ256"/>
    <mergeCell ref="CA255:CA256"/>
    <mergeCell ref="CC255:CC256"/>
    <mergeCell ref="CD255:CD256"/>
    <mergeCell ref="CE255:CE256"/>
    <mergeCell ref="BY250:CA252"/>
    <mergeCell ref="CC250:CE252"/>
    <mergeCell ref="BI257:BK259"/>
    <mergeCell ref="BM257:BO259"/>
    <mergeCell ref="BQ257:BS259"/>
    <mergeCell ref="BU257:BW259"/>
    <mergeCell ref="BI260:BJ260"/>
    <mergeCell ref="BM260:BN260"/>
    <mergeCell ref="BQ260:BR260"/>
    <mergeCell ref="BU260:BV260"/>
    <mergeCell ref="BY260:BZ260"/>
    <mergeCell ref="CC260:CD260"/>
    <mergeCell ref="BI261:BK261"/>
    <mergeCell ref="BM261:BO261"/>
    <mergeCell ref="BQ261:BS261"/>
    <mergeCell ref="BU261:BW261"/>
    <mergeCell ref="BY261:CA261"/>
    <mergeCell ref="CC261:CE261"/>
    <mergeCell ref="BI262:BI263"/>
    <mergeCell ref="BJ262:BJ263"/>
    <mergeCell ref="BK262:BK263"/>
    <mergeCell ref="BM262:BM263"/>
    <mergeCell ref="BN262:BN263"/>
    <mergeCell ref="BO262:BO263"/>
    <mergeCell ref="BQ262:BQ263"/>
    <mergeCell ref="BR262:BR263"/>
    <mergeCell ref="BS262:BS263"/>
    <mergeCell ref="BU262:BU263"/>
    <mergeCell ref="BY257:CA259"/>
    <mergeCell ref="CC257:CE259"/>
    <mergeCell ref="BV262:BV263"/>
    <mergeCell ref="BW262:BW263"/>
    <mergeCell ref="BY262:BY263"/>
    <mergeCell ref="BZ262:BZ263"/>
    <mergeCell ref="CA262:CA263"/>
    <mergeCell ref="CC262:CC263"/>
    <mergeCell ref="CD262:CD263"/>
    <mergeCell ref="CE262:CE263"/>
    <mergeCell ref="BI264:BK266"/>
    <mergeCell ref="BM264:BO266"/>
    <mergeCell ref="BQ264:BS266"/>
    <mergeCell ref="BU264:BW266"/>
    <mergeCell ref="BY264:CA266"/>
    <mergeCell ref="CC264:CE266"/>
    <mergeCell ref="BH244:BH323"/>
    <mergeCell ref="BL244:BL323"/>
    <mergeCell ref="BP244:BP323"/>
    <mergeCell ref="BT244:BT323"/>
    <mergeCell ref="BX244:BX323"/>
    <mergeCell ref="CB244:CB323"/>
    <mergeCell ref="CF244:CF323"/>
    <mergeCell ref="U244:U245"/>
    <mergeCell ref="U246:U247"/>
    <mergeCell ref="V246:V247"/>
    <mergeCell ref="W246:W247"/>
    <mergeCell ref="Y246:Y247"/>
    <mergeCell ref="Z246:Z247"/>
    <mergeCell ref="Q248:Q249"/>
    <mergeCell ref="R248:R249"/>
    <mergeCell ref="S248:S249"/>
    <mergeCell ref="U248:U249"/>
    <mergeCell ref="V248:V249"/>
    <mergeCell ref="W248:W249"/>
    <mergeCell ref="Y248:Y249"/>
    <mergeCell ref="Z248:Z249"/>
    <mergeCell ref="Q250:S252"/>
    <mergeCell ref="U250:W252"/>
    <mergeCell ref="Y250:AA252"/>
    <mergeCell ref="Y260:Z260"/>
    <mergeCell ref="Y261:AA261"/>
    <mergeCell ref="Q253:R253"/>
    <mergeCell ref="U253:V253"/>
    <mergeCell ref="Y253:Z253"/>
    <mergeCell ref="Y254:AA254"/>
    <mergeCell ref="Y255:Y256"/>
    <mergeCell ref="Z255:Z256"/>
    <mergeCell ref="Y257:AA259"/>
    <mergeCell ref="Q254:S254"/>
    <mergeCell ref="U254:W254"/>
    <mergeCell ref="Q255:Q256"/>
    <mergeCell ref="R255:R256"/>
    <mergeCell ref="S255:S256"/>
    <mergeCell ref="U255:U256"/>
    <mergeCell ref="V255:V256"/>
    <mergeCell ref="W255:W256"/>
    <mergeCell ref="Q260:R260"/>
    <mergeCell ref="U260:V260"/>
    <mergeCell ref="Q261:S261"/>
    <mergeCell ref="U261:W261"/>
    <mergeCell ref="Q262:Q263"/>
    <mergeCell ref="R262:R263"/>
    <mergeCell ref="Y262:Y263"/>
    <mergeCell ref="Z262:Z263"/>
    <mergeCell ref="Y264:AA266"/>
    <mergeCell ref="Y267:Z267"/>
    <mergeCell ref="AC268:AE268"/>
    <mergeCell ref="AG316:AH316"/>
    <mergeCell ref="AK316:AL316"/>
    <mergeCell ref="E316:F316"/>
    <mergeCell ref="I316:J316"/>
    <mergeCell ref="M316:N316"/>
    <mergeCell ref="Q316:R316"/>
    <mergeCell ref="U316:V316"/>
    <mergeCell ref="Y316:Z316"/>
    <mergeCell ref="AC316:AD316"/>
    <mergeCell ref="A317:D317"/>
    <mergeCell ref="E317:G317"/>
    <mergeCell ref="I317:K317"/>
    <mergeCell ref="M317:O317"/>
    <mergeCell ref="Q317:S317"/>
    <mergeCell ref="U317:W317"/>
    <mergeCell ref="Y317:AA317"/>
    <mergeCell ref="BE317:BG317"/>
    <mergeCell ref="BI317:BK317"/>
    <mergeCell ref="BM317:BO317"/>
    <mergeCell ref="BQ317:BS317"/>
    <mergeCell ref="BU317:BW317"/>
    <mergeCell ref="BY317:CA317"/>
    <mergeCell ref="CC317:CE317"/>
    <mergeCell ref="CG317:CI317"/>
    <mergeCell ref="AC317:AE317"/>
    <mergeCell ref="AG317:AI317"/>
    <mergeCell ref="AK317:AM317"/>
    <mergeCell ref="AO317:AQ317"/>
    <mergeCell ref="AS317:AU317"/>
    <mergeCell ref="AW317:AY317"/>
    <mergeCell ref="BA317:BC317"/>
    <mergeCell ref="BQ316:BR316"/>
    <mergeCell ref="BU316:BV316"/>
    <mergeCell ref="BY316:BZ316"/>
    <mergeCell ref="CC316:CD316"/>
    <mergeCell ref="CG316:CH316"/>
    <mergeCell ref="AO316:AP316"/>
    <mergeCell ref="AS316:AT316"/>
    <mergeCell ref="AW316:AX316"/>
    <mergeCell ref="BA316:BB316"/>
    <mergeCell ref="BE316:BF316"/>
    <mergeCell ref="BI316:BJ316"/>
    <mergeCell ref="BM316:BN316"/>
    <mergeCell ref="J311:J312"/>
    <mergeCell ref="K311:K312"/>
    <mergeCell ref="M311:M312"/>
    <mergeCell ref="N311:N312"/>
    <mergeCell ref="O311:O312"/>
    <mergeCell ref="Q311:Q312"/>
    <mergeCell ref="R311:R312"/>
    <mergeCell ref="S311:S312"/>
    <mergeCell ref="U311:U312"/>
    <mergeCell ref="V311:V312"/>
    <mergeCell ref="W311:W312"/>
    <mergeCell ref="Y311:Y312"/>
    <mergeCell ref="Z311:Z312"/>
    <mergeCell ref="AA311:AA312"/>
    <mergeCell ref="AC311:AC312"/>
    <mergeCell ref="AD311:AD312"/>
    <mergeCell ref="AE311:AE312"/>
    <mergeCell ref="AG311:AG312"/>
    <mergeCell ref="AH311:AH312"/>
    <mergeCell ref="AI311:AI312"/>
    <mergeCell ref="AK311:AK312"/>
    <mergeCell ref="AU311:AU312"/>
    <mergeCell ref="AW311:AW312"/>
    <mergeCell ref="AX311:AX312"/>
    <mergeCell ref="AY311:AY312"/>
    <mergeCell ref="BA311:BA312"/>
    <mergeCell ref="BB311:BB312"/>
    <mergeCell ref="BC311:BC312"/>
    <mergeCell ref="BE311:BE312"/>
    <mergeCell ref="BF311:BF312"/>
    <mergeCell ref="BG311:BG312"/>
    <mergeCell ref="BI311:BI312"/>
    <mergeCell ref="BJ311:BJ312"/>
    <mergeCell ref="BK311:BK312"/>
    <mergeCell ref="BM311:BM312"/>
    <mergeCell ref="A311:A316"/>
    <mergeCell ref="B311:C314"/>
    <mergeCell ref="D311:D314"/>
    <mergeCell ref="E311:E312"/>
    <mergeCell ref="F311:F312"/>
    <mergeCell ref="G311:G312"/>
    <mergeCell ref="I311:I312"/>
    <mergeCell ref="AL311:AL312"/>
    <mergeCell ref="AM311:AM312"/>
    <mergeCell ref="AO311:AO312"/>
    <mergeCell ref="AP311:AP312"/>
    <mergeCell ref="AQ311:AQ312"/>
    <mergeCell ref="AS311:AS312"/>
    <mergeCell ref="AT311:AT312"/>
    <mergeCell ref="AL318:AL319"/>
    <mergeCell ref="AM318:AM319"/>
    <mergeCell ref="AO318:AO319"/>
    <mergeCell ref="AP318:AP319"/>
    <mergeCell ref="AQ318:AQ319"/>
    <mergeCell ref="AS318:AS319"/>
    <mergeCell ref="AT318:AT319"/>
    <mergeCell ref="AU318:AU319"/>
    <mergeCell ref="AW318:AW319"/>
    <mergeCell ref="AX318:AX319"/>
    <mergeCell ref="AY318:AY319"/>
    <mergeCell ref="BA318:BA319"/>
    <mergeCell ref="BB318:BB319"/>
    <mergeCell ref="BC318:BC319"/>
    <mergeCell ref="BG318:BG319"/>
    <mergeCell ref="BI318:BI319"/>
    <mergeCell ref="BJ318:BJ319"/>
    <mergeCell ref="BK318:BK319"/>
    <mergeCell ref="BM318:BM319"/>
    <mergeCell ref="BN318:BN319"/>
    <mergeCell ref="BO318:BO319"/>
    <mergeCell ref="BZ318:BZ319"/>
    <mergeCell ref="CA318:CA319"/>
    <mergeCell ref="CC318:CC319"/>
    <mergeCell ref="CD318:CD319"/>
    <mergeCell ref="CE318:CE319"/>
    <mergeCell ref="CG318:CG319"/>
    <mergeCell ref="CH318:CH319"/>
    <mergeCell ref="CI318:CI319"/>
    <mergeCell ref="BQ318:BQ319"/>
    <mergeCell ref="BR318:BR319"/>
    <mergeCell ref="BS318:BS319"/>
    <mergeCell ref="BU318:BU319"/>
    <mergeCell ref="BV318:BV319"/>
    <mergeCell ref="BW318:BW319"/>
    <mergeCell ref="BY318:BY319"/>
    <mergeCell ref="BE318:BE319"/>
    <mergeCell ref="BF318:BF319"/>
    <mergeCell ref="BE320:BG322"/>
    <mergeCell ref="BI320:BK322"/>
    <mergeCell ref="BM320:BO322"/>
    <mergeCell ref="BQ320:BS322"/>
    <mergeCell ref="BU320:BW322"/>
    <mergeCell ref="BY320:CA322"/>
    <mergeCell ref="CC320:CE322"/>
    <mergeCell ref="CG320:CI322"/>
    <mergeCell ref="CG325:CG326"/>
    <mergeCell ref="CH325:CI326"/>
    <mergeCell ref="CH327:CH328"/>
    <mergeCell ref="CI327:CI328"/>
    <mergeCell ref="CG327:CG328"/>
    <mergeCell ref="CG329:CG330"/>
    <mergeCell ref="CH329:CH330"/>
    <mergeCell ref="CI329:CI330"/>
    <mergeCell ref="CG331:CI333"/>
    <mergeCell ref="CG334:CH334"/>
    <mergeCell ref="CG335:CI335"/>
    <mergeCell ref="CH343:CH344"/>
    <mergeCell ref="CI343:CI344"/>
    <mergeCell ref="CG345:CI347"/>
    <mergeCell ref="CG348:CH348"/>
    <mergeCell ref="CG349:CI349"/>
    <mergeCell ref="CG350:CG351"/>
    <mergeCell ref="CH350:CH351"/>
    <mergeCell ref="CI350:CI351"/>
    <mergeCell ref="CG336:CG337"/>
    <mergeCell ref="CH336:CH337"/>
    <mergeCell ref="CI336:CI337"/>
    <mergeCell ref="CG338:CI340"/>
    <mergeCell ref="CG341:CH341"/>
    <mergeCell ref="CG342:CI342"/>
    <mergeCell ref="CG343:CG344"/>
    <mergeCell ref="E323:F323"/>
    <mergeCell ref="I323:J323"/>
    <mergeCell ref="M323:N323"/>
    <mergeCell ref="Q323:R323"/>
    <mergeCell ref="U323:V323"/>
    <mergeCell ref="Y323:Z323"/>
    <mergeCell ref="AC323:AD323"/>
    <mergeCell ref="BY323:BZ323"/>
    <mergeCell ref="CC323:CD323"/>
    <mergeCell ref="CG323:CH323"/>
    <mergeCell ref="AG323:AH323"/>
    <mergeCell ref="AK323:AL323"/>
    <mergeCell ref="BE323:BF323"/>
    <mergeCell ref="BI323:BJ323"/>
    <mergeCell ref="BM323:BN323"/>
    <mergeCell ref="BQ323:BR323"/>
    <mergeCell ref="BU323:BV323"/>
    <mergeCell ref="E324:CI324"/>
    <mergeCell ref="A318:A323"/>
    <mergeCell ref="A325:A328"/>
    <mergeCell ref="B325:C328"/>
    <mergeCell ref="D325:D328"/>
    <mergeCell ref="E325:E326"/>
    <mergeCell ref="E327:E328"/>
    <mergeCell ref="F327:F328"/>
    <mergeCell ref="G327:G328"/>
    <mergeCell ref="B318:C321"/>
    <mergeCell ref="D318:D321"/>
    <mergeCell ref="E318:E319"/>
    <mergeCell ref="F318:F319"/>
    <mergeCell ref="G318:G319"/>
    <mergeCell ref="I318:I319"/>
    <mergeCell ref="A324:D324"/>
    <mergeCell ref="AG313:AI315"/>
    <mergeCell ref="AK313:AM315"/>
    <mergeCell ref="E313:G315"/>
    <mergeCell ref="I313:K315"/>
    <mergeCell ref="M313:O315"/>
    <mergeCell ref="Q313:S315"/>
    <mergeCell ref="U313:W315"/>
    <mergeCell ref="Y313:AA315"/>
    <mergeCell ref="AC313:AE315"/>
    <mergeCell ref="J318:J319"/>
    <mergeCell ref="K318:K319"/>
    <mergeCell ref="M318:M319"/>
    <mergeCell ref="N318:N319"/>
    <mergeCell ref="O318:O319"/>
    <mergeCell ref="Q318:Q319"/>
    <mergeCell ref="R318:R319"/>
    <mergeCell ref="S318:S319"/>
    <mergeCell ref="U318:U319"/>
    <mergeCell ref="V318:V319"/>
    <mergeCell ref="W318:W319"/>
    <mergeCell ref="Y318:Y319"/>
    <mergeCell ref="Z318:Z319"/>
    <mergeCell ref="AA318:AA319"/>
    <mergeCell ref="AO320:AQ322"/>
    <mergeCell ref="AS320:AU322"/>
    <mergeCell ref="AW320:AY322"/>
    <mergeCell ref="BA320:BC322"/>
    <mergeCell ref="AO323:AP323"/>
    <mergeCell ref="AS323:AT323"/>
    <mergeCell ref="AW323:AX323"/>
    <mergeCell ref="BA323:BB323"/>
    <mergeCell ref="AC318:AC319"/>
    <mergeCell ref="AD318:AD319"/>
    <mergeCell ref="AE318:AE319"/>
    <mergeCell ref="AG318:AG319"/>
    <mergeCell ref="AH318:AH319"/>
    <mergeCell ref="AI318:AI319"/>
    <mergeCell ref="AK318:AK319"/>
    <mergeCell ref="F325:G326"/>
    <mergeCell ref="I325:I326"/>
    <mergeCell ref="AG320:AI322"/>
    <mergeCell ref="AK320:AM322"/>
    <mergeCell ref="E320:G322"/>
    <mergeCell ref="I320:K322"/>
    <mergeCell ref="M320:O322"/>
    <mergeCell ref="Q320:S322"/>
    <mergeCell ref="U320:W322"/>
    <mergeCell ref="Y320:AA322"/>
    <mergeCell ref="AC320:AE322"/>
    <mergeCell ref="A329:A334"/>
    <mergeCell ref="B329:C332"/>
    <mergeCell ref="D329:D332"/>
    <mergeCell ref="E329:E330"/>
    <mergeCell ref="F329:F330"/>
    <mergeCell ref="G329:G330"/>
    <mergeCell ref="E331:G333"/>
    <mergeCell ref="F336:F337"/>
    <mergeCell ref="G336:G337"/>
    <mergeCell ref="E338:G340"/>
    <mergeCell ref="E341:F341"/>
    <mergeCell ref="E334:F334"/>
    <mergeCell ref="A335:D335"/>
    <mergeCell ref="E335:G335"/>
    <mergeCell ref="A336:A341"/>
    <mergeCell ref="B336:C339"/>
    <mergeCell ref="D336:D339"/>
    <mergeCell ref="E336:E337"/>
    <mergeCell ref="E348:F348"/>
    <mergeCell ref="A349:D349"/>
    <mergeCell ref="E349:G349"/>
    <mergeCell ref="A350:A355"/>
    <mergeCell ref="B350:C353"/>
    <mergeCell ref="D350:D353"/>
    <mergeCell ref="E350:E351"/>
    <mergeCell ref="F350:F351"/>
    <mergeCell ref="G350:G351"/>
    <mergeCell ref="E352:G354"/>
    <mergeCell ref="A356:D356"/>
    <mergeCell ref="E356:G356"/>
    <mergeCell ref="I356:K356"/>
    <mergeCell ref="M356:O356"/>
    <mergeCell ref="Q356:S356"/>
    <mergeCell ref="U356:W356"/>
    <mergeCell ref="Y356:AA356"/>
    <mergeCell ref="BE356:BG356"/>
    <mergeCell ref="BI356:BK356"/>
    <mergeCell ref="BM356:BO356"/>
    <mergeCell ref="BQ356:BS356"/>
    <mergeCell ref="BU356:BW356"/>
    <mergeCell ref="BY356:CA356"/>
    <mergeCell ref="CC356:CE356"/>
    <mergeCell ref="CG356:CI356"/>
    <mergeCell ref="AC356:AE356"/>
    <mergeCell ref="AG356:AI356"/>
    <mergeCell ref="AK356:AM356"/>
    <mergeCell ref="AO356:AQ356"/>
    <mergeCell ref="AS356:AU356"/>
    <mergeCell ref="AW356:AY356"/>
    <mergeCell ref="BA356:BC356"/>
    <mergeCell ref="G343:G344"/>
    <mergeCell ref="E345:G347"/>
    <mergeCell ref="A342:D342"/>
    <mergeCell ref="E342:G342"/>
    <mergeCell ref="A343:A348"/>
    <mergeCell ref="B343:C346"/>
    <mergeCell ref="D343:D346"/>
    <mergeCell ref="E343:E344"/>
    <mergeCell ref="F343:F344"/>
    <mergeCell ref="M352:O354"/>
    <mergeCell ref="Q352:S354"/>
    <mergeCell ref="U352:W354"/>
    <mergeCell ref="Y352:AA354"/>
    <mergeCell ref="AC352:AE354"/>
    <mergeCell ref="AG352:AI354"/>
    <mergeCell ref="AK352:AM354"/>
    <mergeCell ref="AO352:AQ354"/>
    <mergeCell ref="AS352:AU354"/>
    <mergeCell ref="AW352:AY354"/>
    <mergeCell ref="BA352:BC354"/>
    <mergeCell ref="BE352:BG354"/>
    <mergeCell ref="BI352:BK354"/>
    <mergeCell ref="BM352:BO354"/>
    <mergeCell ref="E355:F355"/>
    <mergeCell ref="I355:J355"/>
    <mergeCell ref="M355:N355"/>
    <mergeCell ref="Q355:R355"/>
    <mergeCell ref="U355:V355"/>
    <mergeCell ref="Y355:Z355"/>
    <mergeCell ref="AC355:AD355"/>
    <mergeCell ref="CC352:CE354"/>
    <mergeCell ref="CC355:CD355"/>
    <mergeCell ref="BQ352:BS354"/>
    <mergeCell ref="BU352:BW354"/>
    <mergeCell ref="BY352:CA354"/>
    <mergeCell ref="CG352:CI354"/>
    <mergeCell ref="BQ355:BR355"/>
    <mergeCell ref="BU355:BV355"/>
    <mergeCell ref="BY355:BZ355"/>
    <mergeCell ref="CG355:CH355"/>
    <mergeCell ref="AL357:AL358"/>
    <mergeCell ref="AM357:AM358"/>
    <mergeCell ref="AO357:AO358"/>
    <mergeCell ref="AP357:AP358"/>
    <mergeCell ref="AQ357:AQ358"/>
    <mergeCell ref="AS357:AS358"/>
    <mergeCell ref="AT357:AT358"/>
    <mergeCell ref="AU357:AU358"/>
    <mergeCell ref="AW357:AW358"/>
    <mergeCell ref="AX357:AX358"/>
    <mergeCell ref="AY357:AY358"/>
    <mergeCell ref="BA357:BA358"/>
    <mergeCell ref="BB357:BB358"/>
    <mergeCell ref="BC357:BC358"/>
    <mergeCell ref="BN357:BN358"/>
    <mergeCell ref="BO357:BO358"/>
    <mergeCell ref="BQ357:BQ358"/>
    <mergeCell ref="BR357:BR358"/>
    <mergeCell ref="BS357:BS358"/>
    <mergeCell ref="BU357:BU358"/>
    <mergeCell ref="BV357:BV358"/>
    <mergeCell ref="CG357:CG358"/>
    <mergeCell ref="CH357:CH358"/>
    <mergeCell ref="CI357:CI358"/>
    <mergeCell ref="BW357:BW358"/>
    <mergeCell ref="BY357:BY358"/>
    <mergeCell ref="BZ357:BZ358"/>
    <mergeCell ref="CA357:CA358"/>
    <mergeCell ref="CC357:CC358"/>
    <mergeCell ref="CD357:CD358"/>
    <mergeCell ref="CE357:CE358"/>
    <mergeCell ref="BQ359:BS361"/>
    <mergeCell ref="BU359:BW361"/>
    <mergeCell ref="BY359:CA361"/>
    <mergeCell ref="CC359:CE361"/>
    <mergeCell ref="CG359:CI361"/>
    <mergeCell ref="AO359:AQ361"/>
    <mergeCell ref="AS359:AU361"/>
    <mergeCell ref="AW359:AY361"/>
    <mergeCell ref="BA359:BC361"/>
    <mergeCell ref="BE359:BG361"/>
    <mergeCell ref="BI359:BK361"/>
    <mergeCell ref="BM359:BO361"/>
    <mergeCell ref="AG362:AH362"/>
    <mergeCell ref="AK362:AL362"/>
    <mergeCell ref="E362:F362"/>
    <mergeCell ref="I362:J362"/>
    <mergeCell ref="M362:N362"/>
    <mergeCell ref="Q362:R362"/>
    <mergeCell ref="U362:V362"/>
    <mergeCell ref="Y362:Z362"/>
    <mergeCell ref="AC362:AD362"/>
    <mergeCell ref="A363:D363"/>
    <mergeCell ref="E363:G363"/>
    <mergeCell ref="I363:K363"/>
    <mergeCell ref="M363:O363"/>
    <mergeCell ref="Q363:S363"/>
    <mergeCell ref="U363:W363"/>
    <mergeCell ref="Y363:AA363"/>
    <mergeCell ref="BE363:BG363"/>
    <mergeCell ref="BI363:BK363"/>
    <mergeCell ref="BM363:BO363"/>
    <mergeCell ref="BQ363:BS363"/>
    <mergeCell ref="BU363:BW363"/>
    <mergeCell ref="BY363:CA363"/>
    <mergeCell ref="CC363:CE363"/>
    <mergeCell ref="CG363:CI363"/>
    <mergeCell ref="AC363:AE363"/>
    <mergeCell ref="AG363:AI363"/>
    <mergeCell ref="AK363:AM363"/>
    <mergeCell ref="AO363:AQ363"/>
    <mergeCell ref="AS363:AU363"/>
    <mergeCell ref="AW363:AY363"/>
    <mergeCell ref="BA363:BC363"/>
    <mergeCell ref="BQ362:BR362"/>
    <mergeCell ref="BU362:BV362"/>
    <mergeCell ref="BY362:BZ362"/>
    <mergeCell ref="CC362:CD362"/>
    <mergeCell ref="CG362:CH362"/>
    <mergeCell ref="AO362:AP362"/>
    <mergeCell ref="AS362:AT362"/>
    <mergeCell ref="AW362:AX362"/>
    <mergeCell ref="BA362:BB362"/>
    <mergeCell ref="BE362:BF362"/>
    <mergeCell ref="BI362:BJ362"/>
    <mergeCell ref="BM362:BN362"/>
    <mergeCell ref="AL364:AL365"/>
    <mergeCell ref="AM364:AM365"/>
    <mergeCell ref="AO364:AO365"/>
    <mergeCell ref="AP364:AP365"/>
    <mergeCell ref="AQ364:AQ365"/>
    <mergeCell ref="AS364:AS365"/>
    <mergeCell ref="AT364:AT365"/>
    <mergeCell ref="AU364:AU365"/>
    <mergeCell ref="AW364:AW365"/>
    <mergeCell ref="AX364:AX365"/>
    <mergeCell ref="AY364:AY365"/>
    <mergeCell ref="BA364:BA365"/>
    <mergeCell ref="BB364:BB365"/>
    <mergeCell ref="BC364:BC365"/>
    <mergeCell ref="BG364:BG365"/>
    <mergeCell ref="BI364:BI365"/>
    <mergeCell ref="BJ364:BJ365"/>
    <mergeCell ref="BK364:BK365"/>
    <mergeCell ref="BM364:BM365"/>
    <mergeCell ref="BN364:BN365"/>
    <mergeCell ref="BO364:BO365"/>
    <mergeCell ref="BZ364:BZ365"/>
    <mergeCell ref="CA364:CA365"/>
    <mergeCell ref="CC364:CC365"/>
    <mergeCell ref="CD364:CD365"/>
    <mergeCell ref="CE364:CE365"/>
    <mergeCell ref="CG364:CG365"/>
    <mergeCell ref="CH364:CH365"/>
    <mergeCell ref="CI364:CI365"/>
    <mergeCell ref="BQ364:BQ365"/>
    <mergeCell ref="BR364:BR365"/>
    <mergeCell ref="BS364:BS365"/>
    <mergeCell ref="BU364:BU365"/>
    <mergeCell ref="BV364:BV365"/>
    <mergeCell ref="BW364:BW365"/>
    <mergeCell ref="BY364:BY365"/>
    <mergeCell ref="AG366:AI368"/>
    <mergeCell ref="AK366:AM368"/>
    <mergeCell ref="E366:G368"/>
    <mergeCell ref="I366:K368"/>
    <mergeCell ref="M366:O368"/>
    <mergeCell ref="Q366:S368"/>
    <mergeCell ref="U366:W368"/>
    <mergeCell ref="Y366:AA368"/>
    <mergeCell ref="AC366:AE368"/>
    <mergeCell ref="BY366:CA368"/>
    <mergeCell ref="CC366:CE368"/>
    <mergeCell ref="CG366:CI368"/>
    <mergeCell ref="BE364:BE365"/>
    <mergeCell ref="BF364:BF365"/>
    <mergeCell ref="BE366:BG368"/>
    <mergeCell ref="BI366:BK368"/>
    <mergeCell ref="BM366:BO368"/>
    <mergeCell ref="BQ366:BS368"/>
    <mergeCell ref="BU366:BW368"/>
    <mergeCell ref="E369:F369"/>
    <mergeCell ref="I369:J369"/>
    <mergeCell ref="M369:N369"/>
    <mergeCell ref="Q369:R369"/>
    <mergeCell ref="U369:V369"/>
    <mergeCell ref="Y369:Z369"/>
    <mergeCell ref="AC369:AD369"/>
    <mergeCell ref="BY369:BZ369"/>
    <mergeCell ref="CC369:CD369"/>
    <mergeCell ref="CG369:CH369"/>
    <mergeCell ref="AG369:AH369"/>
    <mergeCell ref="AK369:AL369"/>
    <mergeCell ref="BE369:BF369"/>
    <mergeCell ref="BI369:BJ369"/>
    <mergeCell ref="BM369:BN369"/>
    <mergeCell ref="BQ369:BR369"/>
    <mergeCell ref="BU369:BV369"/>
    <mergeCell ref="A370:D370"/>
    <mergeCell ref="E370:G370"/>
    <mergeCell ref="I370:K370"/>
    <mergeCell ref="M370:O370"/>
    <mergeCell ref="Q370:S370"/>
    <mergeCell ref="U370:W370"/>
    <mergeCell ref="Y370:AA370"/>
    <mergeCell ref="BE370:BG370"/>
    <mergeCell ref="BI370:BK370"/>
    <mergeCell ref="BM370:BO370"/>
    <mergeCell ref="BQ370:BS370"/>
    <mergeCell ref="BU370:BW370"/>
    <mergeCell ref="BY370:CA370"/>
    <mergeCell ref="CC370:CE370"/>
    <mergeCell ref="CG370:CI370"/>
    <mergeCell ref="AC370:AE370"/>
    <mergeCell ref="AG370:AI370"/>
    <mergeCell ref="AK370:AM370"/>
    <mergeCell ref="AO370:AQ370"/>
    <mergeCell ref="AS370:AU370"/>
    <mergeCell ref="AW370:AY370"/>
    <mergeCell ref="BA370:BC370"/>
    <mergeCell ref="BI355:BJ355"/>
    <mergeCell ref="BM355:BN355"/>
    <mergeCell ref="AG355:AH355"/>
    <mergeCell ref="AK355:AL355"/>
    <mergeCell ref="AO355:AP355"/>
    <mergeCell ref="AS355:AT355"/>
    <mergeCell ref="AW355:AX355"/>
    <mergeCell ref="BA355:BB355"/>
    <mergeCell ref="BE355:BF355"/>
    <mergeCell ref="J357:J358"/>
    <mergeCell ref="K357:K358"/>
    <mergeCell ref="M357:M358"/>
    <mergeCell ref="N357:N358"/>
    <mergeCell ref="O357:O358"/>
    <mergeCell ref="Q357:Q358"/>
    <mergeCell ref="R357:R358"/>
    <mergeCell ref="S357:S358"/>
    <mergeCell ref="U357:U358"/>
    <mergeCell ref="V357:V358"/>
    <mergeCell ref="W357:W358"/>
    <mergeCell ref="Y357:Y358"/>
    <mergeCell ref="Z357:Z358"/>
    <mergeCell ref="AA357:AA358"/>
    <mergeCell ref="BE357:BE358"/>
    <mergeCell ref="BF357:BF358"/>
    <mergeCell ref="BG357:BG358"/>
    <mergeCell ref="BI357:BI358"/>
    <mergeCell ref="BJ357:BJ358"/>
    <mergeCell ref="BK357:BK358"/>
    <mergeCell ref="BM357:BM358"/>
    <mergeCell ref="A357:A362"/>
    <mergeCell ref="B357:C360"/>
    <mergeCell ref="D357:D360"/>
    <mergeCell ref="E357:E358"/>
    <mergeCell ref="F357:F358"/>
    <mergeCell ref="G357:G358"/>
    <mergeCell ref="I357:I358"/>
    <mergeCell ref="AC357:AC358"/>
    <mergeCell ref="AD357:AD358"/>
    <mergeCell ref="AE357:AE358"/>
    <mergeCell ref="AG357:AG358"/>
    <mergeCell ref="AH357:AH358"/>
    <mergeCell ref="AI357:AI358"/>
    <mergeCell ref="AK357:AK358"/>
    <mergeCell ref="AG359:AI361"/>
    <mergeCell ref="AK359:AM361"/>
    <mergeCell ref="E359:G361"/>
    <mergeCell ref="I359:K361"/>
    <mergeCell ref="M359:O361"/>
    <mergeCell ref="Q359:S361"/>
    <mergeCell ref="U359:W361"/>
    <mergeCell ref="Y359:AA361"/>
    <mergeCell ref="AC359:AE361"/>
    <mergeCell ref="J364:J365"/>
    <mergeCell ref="K364:K365"/>
    <mergeCell ref="M364:M365"/>
    <mergeCell ref="N364:N365"/>
    <mergeCell ref="O364:O365"/>
    <mergeCell ref="Q364:Q365"/>
    <mergeCell ref="R364:R365"/>
    <mergeCell ref="S364:S365"/>
    <mergeCell ref="U364:U365"/>
    <mergeCell ref="V364:V365"/>
    <mergeCell ref="W364:W365"/>
    <mergeCell ref="Y364:Y365"/>
    <mergeCell ref="Z364:Z365"/>
    <mergeCell ref="AA364:AA365"/>
    <mergeCell ref="AO366:AQ368"/>
    <mergeCell ref="AS366:AU368"/>
    <mergeCell ref="AW366:AY368"/>
    <mergeCell ref="BA366:BC368"/>
    <mergeCell ref="AO369:AP369"/>
    <mergeCell ref="AS369:AT369"/>
    <mergeCell ref="AW369:AX369"/>
    <mergeCell ref="BA369:BB369"/>
    <mergeCell ref="AC364:AC365"/>
    <mergeCell ref="AD364:AD365"/>
    <mergeCell ref="AE364:AE365"/>
    <mergeCell ref="AG364:AG365"/>
    <mergeCell ref="AH364:AH365"/>
    <mergeCell ref="AI364:AI365"/>
    <mergeCell ref="AK364:AK365"/>
    <mergeCell ref="A364:A369"/>
    <mergeCell ref="B364:C367"/>
    <mergeCell ref="D364:D367"/>
    <mergeCell ref="E364:E365"/>
    <mergeCell ref="F364:F365"/>
    <mergeCell ref="G364:G365"/>
    <mergeCell ref="I364:I365"/>
    <mergeCell ref="BN371:BN372"/>
    <mergeCell ref="BO371:BO372"/>
    <mergeCell ref="BQ371:BQ372"/>
    <mergeCell ref="BR371:BR372"/>
    <mergeCell ref="BS371:BS372"/>
    <mergeCell ref="BU371:BU372"/>
    <mergeCell ref="BV371:BV372"/>
    <mergeCell ref="CG371:CG372"/>
    <mergeCell ref="CH371:CH372"/>
    <mergeCell ref="CI371:CI372"/>
    <mergeCell ref="BW371:BW372"/>
    <mergeCell ref="BY371:BY372"/>
    <mergeCell ref="BZ371:BZ372"/>
    <mergeCell ref="CA371:CA372"/>
    <mergeCell ref="CC371:CC372"/>
    <mergeCell ref="CD371:CD372"/>
    <mergeCell ref="CE371:CE372"/>
    <mergeCell ref="BQ373:BS375"/>
    <mergeCell ref="BU373:BW375"/>
    <mergeCell ref="BY373:CA375"/>
    <mergeCell ref="CC373:CE375"/>
    <mergeCell ref="CG373:CI375"/>
    <mergeCell ref="AO373:AQ375"/>
    <mergeCell ref="AS373:AU375"/>
    <mergeCell ref="AW373:AY375"/>
    <mergeCell ref="BA373:BC375"/>
    <mergeCell ref="BE373:BG375"/>
    <mergeCell ref="BI373:BK375"/>
    <mergeCell ref="BM373:BO375"/>
    <mergeCell ref="AG376:AH376"/>
    <mergeCell ref="AK376:AL376"/>
    <mergeCell ref="E376:F376"/>
    <mergeCell ref="I376:J376"/>
    <mergeCell ref="M376:N376"/>
    <mergeCell ref="Q376:R376"/>
    <mergeCell ref="U376:V376"/>
    <mergeCell ref="Y376:Z376"/>
    <mergeCell ref="AC376:AD376"/>
    <mergeCell ref="A377:D377"/>
    <mergeCell ref="E377:G377"/>
    <mergeCell ref="I377:K377"/>
    <mergeCell ref="M377:O377"/>
    <mergeCell ref="Q377:S377"/>
    <mergeCell ref="U377:W377"/>
    <mergeCell ref="Y377:AA377"/>
    <mergeCell ref="BE377:BG377"/>
    <mergeCell ref="BI377:BK377"/>
    <mergeCell ref="BM377:BO377"/>
    <mergeCell ref="BQ377:BS377"/>
    <mergeCell ref="BU377:BW377"/>
    <mergeCell ref="BY377:CA377"/>
    <mergeCell ref="CC377:CE377"/>
    <mergeCell ref="CG377:CI377"/>
    <mergeCell ref="AC377:AE377"/>
    <mergeCell ref="AG377:AI377"/>
    <mergeCell ref="AK377:AM377"/>
    <mergeCell ref="AO377:AQ377"/>
    <mergeCell ref="AS377:AU377"/>
    <mergeCell ref="AW377:AY377"/>
    <mergeCell ref="BA377:BC377"/>
    <mergeCell ref="BQ376:BR376"/>
    <mergeCell ref="BU376:BV376"/>
    <mergeCell ref="BY376:BZ376"/>
    <mergeCell ref="CC376:CD376"/>
    <mergeCell ref="CG376:CH376"/>
    <mergeCell ref="AO376:AP376"/>
    <mergeCell ref="AS376:AT376"/>
    <mergeCell ref="AW376:AX376"/>
    <mergeCell ref="BA376:BB376"/>
    <mergeCell ref="BE376:BF376"/>
    <mergeCell ref="BI376:BJ376"/>
    <mergeCell ref="BM376:BN376"/>
    <mergeCell ref="AL378:AL379"/>
    <mergeCell ref="AM378:AM379"/>
    <mergeCell ref="AO378:AO379"/>
    <mergeCell ref="AP378:AP379"/>
    <mergeCell ref="AQ378:AQ379"/>
    <mergeCell ref="AS378:AS379"/>
    <mergeCell ref="AT378:AT379"/>
    <mergeCell ref="AU378:AU379"/>
    <mergeCell ref="AW378:AW379"/>
    <mergeCell ref="AX378:AX379"/>
    <mergeCell ref="AY378:AY379"/>
    <mergeCell ref="BA378:BA379"/>
    <mergeCell ref="BB378:BB379"/>
    <mergeCell ref="BC378:BC379"/>
    <mergeCell ref="BN378:BN379"/>
    <mergeCell ref="BO378:BO379"/>
    <mergeCell ref="BQ378:BQ379"/>
    <mergeCell ref="BR378:BR379"/>
    <mergeCell ref="BS378:BS379"/>
    <mergeCell ref="BU378:BU379"/>
    <mergeCell ref="BV378:BV379"/>
    <mergeCell ref="CG378:CG379"/>
    <mergeCell ref="CH378:CH379"/>
    <mergeCell ref="CI378:CI379"/>
    <mergeCell ref="BW378:BW379"/>
    <mergeCell ref="BY378:BY379"/>
    <mergeCell ref="BZ378:BZ379"/>
    <mergeCell ref="CA378:CA379"/>
    <mergeCell ref="CC378:CC379"/>
    <mergeCell ref="CD378:CD379"/>
    <mergeCell ref="CE378:CE379"/>
    <mergeCell ref="J371:J372"/>
    <mergeCell ref="K371:K372"/>
    <mergeCell ref="M371:M372"/>
    <mergeCell ref="N371:N372"/>
    <mergeCell ref="O371:O372"/>
    <mergeCell ref="Q371:Q372"/>
    <mergeCell ref="R371:R372"/>
    <mergeCell ref="S371:S372"/>
    <mergeCell ref="U371:U372"/>
    <mergeCell ref="V371:V372"/>
    <mergeCell ref="W371:W372"/>
    <mergeCell ref="Y371:Y372"/>
    <mergeCell ref="Z371:Z372"/>
    <mergeCell ref="AA371:AA372"/>
    <mergeCell ref="AC371:AC372"/>
    <mergeCell ref="AD371:AD372"/>
    <mergeCell ref="AE371:AE372"/>
    <mergeCell ref="AG371:AG372"/>
    <mergeCell ref="AH371:AH372"/>
    <mergeCell ref="AI371:AI372"/>
    <mergeCell ref="AK371:AK372"/>
    <mergeCell ref="AU371:AU372"/>
    <mergeCell ref="AW371:AW372"/>
    <mergeCell ref="AX371:AX372"/>
    <mergeCell ref="AY371:AY372"/>
    <mergeCell ref="BA371:BA372"/>
    <mergeCell ref="BB371:BB372"/>
    <mergeCell ref="BC371:BC372"/>
    <mergeCell ref="BE371:BE372"/>
    <mergeCell ref="BF371:BF372"/>
    <mergeCell ref="BG371:BG372"/>
    <mergeCell ref="BI371:BI372"/>
    <mergeCell ref="BJ371:BJ372"/>
    <mergeCell ref="BK371:BK372"/>
    <mergeCell ref="BM371:BM372"/>
    <mergeCell ref="A371:A376"/>
    <mergeCell ref="B371:C374"/>
    <mergeCell ref="D371:D374"/>
    <mergeCell ref="E371:E372"/>
    <mergeCell ref="F371:F372"/>
    <mergeCell ref="G371:G372"/>
    <mergeCell ref="I371:I372"/>
    <mergeCell ref="AL371:AL372"/>
    <mergeCell ref="AM371:AM372"/>
    <mergeCell ref="AO371:AO372"/>
    <mergeCell ref="AP371:AP372"/>
    <mergeCell ref="AQ371:AQ372"/>
    <mergeCell ref="AS371:AS372"/>
    <mergeCell ref="AT371:AT372"/>
    <mergeCell ref="BQ380:BS382"/>
    <mergeCell ref="BU380:BW382"/>
    <mergeCell ref="BY380:CA382"/>
    <mergeCell ref="CC380:CE382"/>
    <mergeCell ref="CG380:CI382"/>
    <mergeCell ref="AO380:AQ382"/>
    <mergeCell ref="AS380:AU382"/>
    <mergeCell ref="AW380:AY382"/>
    <mergeCell ref="BA380:BC382"/>
    <mergeCell ref="BE380:BG382"/>
    <mergeCell ref="BI380:BK382"/>
    <mergeCell ref="BM380:BO382"/>
    <mergeCell ref="AG383:AH383"/>
    <mergeCell ref="AK383:AL383"/>
    <mergeCell ref="BQ383:BR383"/>
    <mergeCell ref="BU383:BV383"/>
    <mergeCell ref="BY383:BZ383"/>
    <mergeCell ref="CC383:CD383"/>
    <mergeCell ref="CG383:CH383"/>
    <mergeCell ref="E383:F383"/>
    <mergeCell ref="I383:J383"/>
    <mergeCell ref="M383:N383"/>
    <mergeCell ref="Q383:R383"/>
    <mergeCell ref="U383:V383"/>
    <mergeCell ref="Y383:Z383"/>
    <mergeCell ref="AC383:AD383"/>
    <mergeCell ref="A378:A383"/>
    <mergeCell ref="B378:C381"/>
    <mergeCell ref="D378:D381"/>
    <mergeCell ref="E378:E379"/>
    <mergeCell ref="F378:F379"/>
    <mergeCell ref="G378:G379"/>
    <mergeCell ref="I378:I379"/>
    <mergeCell ref="A384:D384"/>
    <mergeCell ref="E384:G384"/>
    <mergeCell ref="I384:K384"/>
    <mergeCell ref="M384:O384"/>
    <mergeCell ref="Q384:S384"/>
    <mergeCell ref="U384:W384"/>
    <mergeCell ref="Y384:AA384"/>
    <mergeCell ref="BE384:BG384"/>
    <mergeCell ref="BI384:BK384"/>
    <mergeCell ref="BM384:BO384"/>
    <mergeCell ref="BQ384:BS384"/>
    <mergeCell ref="BU384:BW384"/>
    <mergeCell ref="BY384:CA384"/>
    <mergeCell ref="CC384:CE384"/>
    <mergeCell ref="CG384:CI384"/>
    <mergeCell ref="AC384:AE384"/>
    <mergeCell ref="AG384:AI384"/>
    <mergeCell ref="AK384:AM384"/>
    <mergeCell ref="AO384:AQ384"/>
    <mergeCell ref="AS384:AU384"/>
    <mergeCell ref="AW384:AY384"/>
    <mergeCell ref="BA384:BC384"/>
    <mergeCell ref="AG373:AI375"/>
    <mergeCell ref="AK373:AM375"/>
    <mergeCell ref="E373:G375"/>
    <mergeCell ref="I373:K375"/>
    <mergeCell ref="M373:O375"/>
    <mergeCell ref="Q373:S375"/>
    <mergeCell ref="U373:W375"/>
    <mergeCell ref="Y373:AA375"/>
    <mergeCell ref="AC373:AE375"/>
    <mergeCell ref="J378:J379"/>
    <mergeCell ref="K378:K379"/>
    <mergeCell ref="M378:M379"/>
    <mergeCell ref="N378:N379"/>
    <mergeCell ref="O378:O379"/>
    <mergeCell ref="Q378:Q379"/>
    <mergeCell ref="R378:R379"/>
    <mergeCell ref="S378:S379"/>
    <mergeCell ref="U378:U379"/>
    <mergeCell ref="V378:V379"/>
    <mergeCell ref="W378:W379"/>
    <mergeCell ref="Y378:Y379"/>
    <mergeCell ref="Z378:Z379"/>
    <mergeCell ref="AA378:AA379"/>
    <mergeCell ref="BE378:BE379"/>
    <mergeCell ref="BF378:BF379"/>
    <mergeCell ref="BG378:BG379"/>
    <mergeCell ref="BI378:BI379"/>
    <mergeCell ref="BJ378:BJ379"/>
    <mergeCell ref="BK378:BK379"/>
    <mergeCell ref="BM378:BM379"/>
    <mergeCell ref="AO383:AP383"/>
    <mergeCell ref="AS383:AT383"/>
    <mergeCell ref="AW383:AX383"/>
    <mergeCell ref="BA383:BB383"/>
    <mergeCell ref="BE383:BF383"/>
    <mergeCell ref="BI383:BJ383"/>
    <mergeCell ref="BM383:BN383"/>
    <mergeCell ref="AC378:AC379"/>
    <mergeCell ref="AD378:AD379"/>
    <mergeCell ref="AE378:AE379"/>
    <mergeCell ref="AG378:AG379"/>
    <mergeCell ref="AH378:AH379"/>
    <mergeCell ref="AI378:AI379"/>
    <mergeCell ref="AK378:AK379"/>
    <mergeCell ref="AL385:AL386"/>
    <mergeCell ref="AM385:AM386"/>
    <mergeCell ref="AO385:AO386"/>
    <mergeCell ref="AP385:AP386"/>
    <mergeCell ref="AQ385:AQ386"/>
    <mergeCell ref="AS385:AS386"/>
    <mergeCell ref="AT385:AT386"/>
    <mergeCell ref="AU385:AU386"/>
    <mergeCell ref="AW385:AW386"/>
    <mergeCell ref="AX385:AX386"/>
    <mergeCell ref="AY385:AY386"/>
    <mergeCell ref="BA385:BA386"/>
    <mergeCell ref="BB385:BB386"/>
    <mergeCell ref="BC385:BC386"/>
    <mergeCell ref="BG385:BG386"/>
    <mergeCell ref="BI385:BI386"/>
    <mergeCell ref="BJ385:BJ386"/>
    <mergeCell ref="BK385:BK386"/>
    <mergeCell ref="BM385:BM386"/>
    <mergeCell ref="BN385:BN386"/>
    <mergeCell ref="BO385:BO386"/>
    <mergeCell ref="BZ385:BZ386"/>
    <mergeCell ref="CA385:CA386"/>
    <mergeCell ref="CC385:CC386"/>
    <mergeCell ref="CD385:CD386"/>
    <mergeCell ref="CE385:CE386"/>
    <mergeCell ref="CG385:CG386"/>
    <mergeCell ref="CH385:CH386"/>
    <mergeCell ref="CI385:CI386"/>
    <mergeCell ref="BQ385:BQ386"/>
    <mergeCell ref="BR385:BR386"/>
    <mergeCell ref="BS385:BS386"/>
    <mergeCell ref="BU385:BU386"/>
    <mergeCell ref="BV385:BV386"/>
    <mergeCell ref="BW385:BW386"/>
    <mergeCell ref="BY385:BY386"/>
    <mergeCell ref="BY387:CA389"/>
    <mergeCell ref="CC387:CE389"/>
    <mergeCell ref="CG387:CI389"/>
    <mergeCell ref="BE385:BE386"/>
    <mergeCell ref="BF385:BF386"/>
    <mergeCell ref="BE387:BG389"/>
    <mergeCell ref="BI387:BK389"/>
    <mergeCell ref="BM387:BO389"/>
    <mergeCell ref="BQ387:BS389"/>
    <mergeCell ref="BU387:BW389"/>
    <mergeCell ref="E390:F390"/>
    <mergeCell ref="I390:J390"/>
    <mergeCell ref="M390:N390"/>
    <mergeCell ref="Q390:R390"/>
    <mergeCell ref="U390:V390"/>
    <mergeCell ref="Y390:Z390"/>
    <mergeCell ref="AC390:AD390"/>
    <mergeCell ref="BY390:BZ390"/>
    <mergeCell ref="CC390:CD390"/>
    <mergeCell ref="CG390:CH390"/>
    <mergeCell ref="AG390:AH390"/>
    <mergeCell ref="AK390:AL390"/>
    <mergeCell ref="BE390:BF390"/>
    <mergeCell ref="BI390:BJ390"/>
    <mergeCell ref="BM390:BN390"/>
    <mergeCell ref="BQ390:BR390"/>
    <mergeCell ref="BU390:BV390"/>
    <mergeCell ref="A391:D391"/>
    <mergeCell ref="E391:G391"/>
    <mergeCell ref="I391:K391"/>
    <mergeCell ref="M391:O391"/>
    <mergeCell ref="Q391:S391"/>
    <mergeCell ref="U391:W391"/>
    <mergeCell ref="Y391:AA391"/>
    <mergeCell ref="BE391:BG391"/>
    <mergeCell ref="BI391:BK391"/>
    <mergeCell ref="BM391:BO391"/>
    <mergeCell ref="BQ391:BS391"/>
    <mergeCell ref="BU391:BW391"/>
    <mergeCell ref="BY391:CA391"/>
    <mergeCell ref="CC391:CE391"/>
    <mergeCell ref="CG391:CI391"/>
    <mergeCell ref="AC391:AE391"/>
    <mergeCell ref="AG391:AI391"/>
    <mergeCell ref="AK391:AM391"/>
    <mergeCell ref="AO391:AQ391"/>
    <mergeCell ref="AS391:AU391"/>
    <mergeCell ref="AW391:AY391"/>
    <mergeCell ref="BA391:BC391"/>
    <mergeCell ref="AL392:AL393"/>
    <mergeCell ref="AM392:AM393"/>
    <mergeCell ref="AO392:AO393"/>
    <mergeCell ref="AP392:AP393"/>
    <mergeCell ref="AQ392:AQ393"/>
    <mergeCell ref="AS392:AS393"/>
    <mergeCell ref="AT392:AT393"/>
    <mergeCell ref="AU392:AU393"/>
    <mergeCell ref="AW392:AW393"/>
    <mergeCell ref="AX392:AX393"/>
    <mergeCell ref="AY392:AY393"/>
    <mergeCell ref="BA392:BA393"/>
    <mergeCell ref="BB392:BB393"/>
    <mergeCell ref="BC392:BC393"/>
    <mergeCell ref="BG392:BG393"/>
    <mergeCell ref="BI392:BI393"/>
    <mergeCell ref="BJ392:BJ393"/>
    <mergeCell ref="BK392:BK393"/>
    <mergeCell ref="BM392:BM393"/>
    <mergeCell ref="BN392:BN393"/>
    <mergeCell ref="BO392:BO393"/>
    <mergeCell ref="BZ392:BZ393"/>
    <mergeCell ref="CA392:CA393"/>
    <mergeCell ref="CC392:CC393"/>
    <mergeCell ref="CD392:CD393"/>
    <mergeCell ref="CE392:CE393"/>
    <mergeCell ref="CG392:CG393"/>
    <mergeCell ref="CH392:CH393"/>
    <mergeCell ref="CI392:CI393"/>
    <mergeCell ref="BQ392:BQ393"/>
    <mergeCell ref="BR392:BR393"/>
    <mergeCell ref="BS392:BS393"/>
    <mergeCell ref="BU392:BU393"/>
    <mergeCell ref="BV392:BV393"/>
    <mergeCell ref="BW392:BW393"/>
    <mergeCell ref="BY392:BY393"/>
    <mergeCell ref="AG394:AI396"/>
    <mergeCell ref="AK394:AM396"/>
    <mergeCell ref="E394:G396"/>
    <mergeCell ref="I394:K396"/>
    <mergeCell ref="M394:O396"/>
    <mergeCell ref="Q394:S396"/>
    <mergeCell ref="U394:W396"/>
    <mergeCell ref="Y394:AA396"/>
    <mergeCell ref="AC394:AE396"/>
    <mergeCell ref="BY394:CA396"/>
    <mergeCell ref="CC394:CE396"/>
    <mergeCell ref="CG394:CI396"/>
    <mergeCell ref="BE392:BE393"/>
    <mergeCell ref="BF392:BF393"/>
    <mergeCell ref="BE394:BG396"/>
    <mergeCell ref="BI394:BK396"/>
    <mergeCell ref="BM394:BO396"/>
    <mergeCell ref="BQ394:BS396"/>
    <mergeCell ref="BU394:BW396"/>
    <mergeCell ref="E397:F397"/>
    <mergeCell ref="I397:J397"/>
    <mergeCell ref="M397:N397"/>
    <mergeCell ref="Q397:R397"/>
    <mergeCell ref="U397:V397"/>
    <mergeCell ref="Y397:Z397"/>
    <mergeCell ref="AC397:AD397"/>
    <mergeCell ref="BY397:BZ397"/>
    <mergeCell ref="CC397:CD397"/>
    <mergeCell ref="CG397:CH397"/>
    <mergeCell ref="AG397:AH397"/>
    <mergeCell ref="AK397:AL397"/>
    <mergeCell ref="BE397:BF397"/>
    <mergeCell ref="BI397:BJ397"/>
    <mergeCell ref="BM397:BN397"/>
    <mergeCell ref="BQ397:BR397"/>
    <mergeCell ref="BU397:BV397"/>
    <mergeCell ref="A398:D398"/>
    <mergeCell ref="E398:G398"/>
    <mergeCell ref="I398:K398"/>
    <mergeCell ref="M398:O398"/>
    <mergeCell ref="Q398:S398"/>
    <mergeCell ref="U398:W398"/>
    <mergeCell ref="Y398:AA398"/>
    <mergeCell ref="BE398:BG398"/>
    <mergeCell ref="BI398:BK398"/>
    <mergeCell ref="BM398:BO398"/>
    <mergeCell ref="BQ398:BS398"/>
    <mergeCell ref="BU398:BW398"/>
    <mergeCell ref="BY398:CA398"/>
    <mergeCell ref="CC398:CE398"/>
    <mergeCell ref="CG398:CI398"/>
    <mergeCell ref="AC398:AE398"/>
    <mergeCell ref="AG398:AI398"/>
    <mergeCell ref="AK398:AM398"/>
    <mergeCell ref="AO398:AQ398"/>
    <mergeCell ref="AS398:AU398"/>
    <mergeCell ref="AW398:AY398"/>
    <mergeCell ref="BA398:BC398"/>
    <mergeCell ref="BQ404:BR404"/>
    <mergeCell ref="BU404:BV404"/>
    <mergeCell ref="BY404:BZ404"/>
    <mergeCell ref="CC404:CD404"/>
    <mergeCell ref="CG404:CH404"/>
    <mergeCell ref="AO404:AP404"/>
    <mergeCell ref="AS404:AT404"/>
    <mergeCell ref="AW404:AX404"/>
    <mergeCell ref="BA404:BB404"/>
    <mergeCell ref="BE404:BF404"/>
    <mergeCell ref="BI404:BJ404"/>
    <mergeCell ref="BM404:BN404"/>
    <mergeCell ref="E405:CI444"/>
    <mergeCell ref="B431:C431"/>
    <mergeCell ref="B432:D432"/>
    <mergeCell ref="A427:A428"/>
    <mergeCell ref="B427:C427"/>
    <mergeCell ref="B428:D428"/>
    <mergeCell ref="A429:A430"/>
    <mergeCell ref="B429:C429"/>
    <mergeCell ref="B430:D430"/>
    <mergeCell ref="A431:A432"/>
    <mergeCell ref="B439:C439"/>
    <mergeCell ref="B440:D440"/>
    <mergeCell ref="A441:A442"/>
    <mergeCell ref="B441:C441"/>
    <mergeCell ref="B442:D442"/>
    <mergeCell ref="A443:A444"/>
    <mergeCell ref="B443:C443"/>
    <mergeCell ref="B444:D444"/>
    <mergeCell ref="A435:A436"/>
    <mergeCell ref="B435:C435"/>
    <mergeCell ref="B436:D436"/>
    <mergeCell ref="A437:A438"/>
    <mergeCell ref="B437:C437"/>
    <mergeCell ref="B438:D438"/>
    <mergeCell ref="A439:A440"/>
    <mergeCell ref="AG404:AH404"/>
    <mergeCell ref="AK404:AL404"/>
    <mergeCell ref="E404:F404"/>
    <mergeCell ref="I404:J404"/>
    <mergeCell ref="M404:N404"/>
    <mergeCell ref="Q404:R404"/>
    <mergeCell ref="U404:V404"/>
    <mergeCell ref="Y404:Z404"/>
    <mergeCell ref="AC404:AD404"/>
    <mergeCell ref="B412:C412"/>
    <mergeCell ref="B413:D413"/>
    <mergeCell ref="A405:D405"/>
    <mergeCell ref="A406:A409"/>
    <mergeCell ref="B406:D409"/>
    <mergeCell ref="A410:A411"/>
    <mergeCell ref="B410:C410"/>
    <mergeCell ref="B411:D411"/>
    <mergeCell ref="A412:A413"/>
    <mergeCell ref="B418:C418"/>
    <mergeCell ref="B419:C420"/>
    <mergeCell ref="A414:A415"/>
    <mergeCell ref="B414:C414"/>
    <mergeCell ref="B415:D415"/>
    <mergeCell ref="A416:A417"/>
    <mergeCell ref="B416:C416"/>
    <mergeCell ref="B417:D417"/>
    <mergeCell ref="A418:A420"/>
    <mergeCell ref="A433:A434"/>
    <mergeCell ref="B433:C433"/>
    <mergeCell ref="B434:D434"/>
    <mergeCell ref="AG380:AI382"/>
    <mergeCell ref="AK380:AM382"/>
    <mergeCell ref="E380:G382"/>
    <mergeCell ref="I380:K382"/>
    <mergeCell ref="M380:O382"/>
    <mergeCell ref="Q380:S382"/>
    <mergeCell ref="U380:W382"/>
    <mergeCell ref="Y380:AA382"/>
    <mergeCell ref="AC380:AE382"/>
    <mergeCell ref="J385:J386"/>
    <mergeCell ref="K385:K386"/>
    <mergeCell ref="M385:M386"/>
    <mergeCell ref="N385:N386"/>
    <mergeCell ref="O385:O386"/>
    <mergeCell ref="Q385:Q386"/>
    <mergeCell ref="R385:R386"/>
    <mergeCell ref="S385:S386"/>
    <mergeCell ref="U385:U386"/>
    <mergeCell ref="V385:V386"/>
    <mergeCell ref="W385:W386"/>
    <mergeCell ref="Y385:Y386"/>
    <mergeCell ref="Z385:Z386"/>
    <mergeCell ref="AA385:AA386"/>
    <mergeCell ref="AO387:AQ389"/>
    <mergeCell ref="AS387:AU389"/>
    <mergeCell ref="AW387:AY389"/>
    <mergeCell ref="BA387:BC389"/>
    <mergeCell ref="AO390:AP390"/>
    <mergeCell ref="AS390:AT390"/>
    <mergeCell ref="AW390:AX390"/>
    <mergeCell ref="BA390:BB390"/>
    <mergeCell ref="AC385:AC386"/>
    <mergeCell ref="AD385:AD386"/>
    <mergeCell ref="AE385:AE386"/>
    <mergeCell ref="AG385:AG386"/>
    <mergeCell ref="AH385:AH386"/>
    <mergeCell ref="AI385:AI386"/>
    <mergeCell ref="AK385:AK386"/>
    <mergeCell ref="A385:A390"/>
    <mergeCell ref="B385:C388"/>
    <mergeCell ref="D385:D388"/>
    <mergeCell ref="E385:E386"/>
    <mergeCell ref="F385:F386"/>
    <mergeCell ref="G385:G386"/>
    <mergeCell ref="I385:I386"/>
    <mergeCell ref="AG387:AI389"/>
    <mergeCell ref="AK387:AM389"/>
    <mergeCell ref="E387:G389"/>
    <mergeCell ref="I387:K389"/>
    <mergeCell ref="M387:O389"/>
    <mergeCell ref="Q387:S389"/>
    <mergeCell ref="U387:W389"/>
    <mergeCell ref="Y387:AA389"/>
    <mergeCell ref="AC387:AE389"/>
    <mergeCell ref="J392:J393"/>
    <mergeCell ref="K392:K393"/>
    <mergeCell ref="M392:M393"/>
    <mergeCell ref="N392:N393"/>
    <mergeCell ref="O392:O393"/>
    <mergeCell ref="Q392:Q393"/>
    <mergeCell ref="R392:R393"/>
    <mergeCell ref="S392:S393"/>
    <mergeCell ref="U392:U393"/>
    <mergeCell ref="V392:V393"/>
    <mergeCell ref="W392:W393"/>
    <mergeCell ref="Y392:Y393"/>
    <mergeCell ref="Z392:Z393"/>
    <mergeCell ref="AA392:AA393"/>
    <mergeCell ref="AO394:AQ396"/>
    <mergeCell ref="AS394:AU396"/>
    <mergeCell ref="AW394:AY396"/>
    <mergeCell ref="BA394:BC396"/>
    <mergeCell ref="AO397:AP397"/>
    <mergeCell ref="AS397:AT397"/>
    <mergeCell ref="AW397:AX397"/>
    <mergeCell ref="BA397:BB397"/>
    <mergeCell ref="AC392:AC393"/>
    <mergeCell ref="AD392:AD393"/>
    <mergeCell ref="AE392:AE393"/>
    <mergeCell ref="AG392:AG393"/>
    <mergeCell ref="AH392:AH393"/>
    <mergeCell ref="AI392:AI393"/>
    <mergeCell ref="AK392:AK393"/>
    <mergeCell ref="A392:A397"/>
    <mergeCell ref="B392:C395"/>
    <mergeCell ref="D392:D395"/>
    <mergeCell ref="E392:E393"/>
    <mergeCell ref="F392:F393"/>
    <mergeCell ref="G392:G393"/>
    <mergeCell ref="I392:I393"/>
    <mergeCell ref="BN399:BN400"/>
    <mergeCell ref="BO399:BO400"/>
    <mergeCell ref="BQ399:BQ400"/>
    <mergeCell ref="BR399:BR400"/>
    <mergeCell ref="BS399:BS400"/>
    <mergeCell ref="BU399:BU400"/>
    <mergeCell ref="BV399:BV400"/>
    <mergeCell ref="CG399:CG400"/>
    <mergeCell ref="CH399:CH400"/>
    <mergeCell ref="CI399:CI400"/>
    <mergeCell ref="BW399:BW400"/>
    <mergeCell ref="BY399:BY400"/>
    <mergeCell ref="BZ399:BZ400"/>
    <mergeCell ref="CA399:CA400"/>
    <mergeCell ref="CC399:CC400"/>
    <mergeCell ref="CD399:CD400"/>
    <mergeCell ref="CE399:CE400"/>
    <mergeCell ref="AG401:AI403"/>
    <mergeCell ref="AK401:AM403"/>
    <mergeCell ref="E401:G403"/>
    <mergeCell ref="I401:K403"/>
    <mergeCell ref="M401:O403"/>
    <mergeCell ref="Q401:S403"/>
    <mergeCell ref="U401:W403"/>
    <mergeCell ref="Y401:AA403"/>
    <mergeCell ref="AC401:AE403"/>
    <mergeCell ref="BQ401:BS403"/>
    <mergeCell ref="BU401:BW403"/>
    <mergeCell ref="BY401:CA403"/>
    <mergeCell ref="CC401:CE403"/>
    <mergeCell ref="CG401:CI403"/>
    <mergeCell ref="AO401:AQ403"/>
    <mergeCell ref="AS401:AU403"/>
    <mergeCell ref="AW401:AY403"/>
    <mergeCell ref="BA401:BC403"/>
    <mergeCell ref="BE401:BG403"/>
    <mergeCell ref="BI401:BK403"/>
    <mergeCell ref="BM401:BO403"/>
    <mergeCell ref="J399:J400"/>
    <mergeCell ref="K399:K400"/>
    <mergeCell ref="M399:M400"/>
    <mergeCell ref="N399:N400"/>
    <mergeCell ref="O399:O400"/>
    <mergeCell ref="Q399:Q400"/>
    <mergeCell ref="R399:R400"/>
    <mergeCell ref="S399:S400"/>
    <mergeCell ref="U399:U400"/>
    <mergeCell ref="V399:V400"/>
    <mergeCell ref="W399:W400"/>
    <mergeCell ref="Y399:Y400"/>
    <mergeCell ref="Z399:Z400"/>
    <mergeCell ref="AA399:AA400"/>
    <mergeCell ref="AC399:AC400"/>
    <mergeCell ref="AD399:AD400"/>
    <mergeCell ref="AE399:AE400"/>
    <mergeCell ref="AG399:AG400"/>
    <mergeCell ref="AH399:AH400"/>
    <mergeCell ref="AI399:AI400"/>
    <mergeCell ref="AK399:AK400"/>
    <mergeCell ref="AU399:AU400"/>
    <mergeCell ref="AW399:AW400"/>
    <mergeCell ref="AX399:AX400"/>
    <mergeCell ref="AY399:AY400"/>
    <mergeCell ref="BA399:BA400"/>
    <mergeCell ref="BB399:BB400"/>
    <mergeCell ref="BC399:BC400"/>
    <mergeCell ref="BE399:BE400"/>
    <mergeCell ref="BF399:BF400"/>
    <mergeCell ref="BG399:BG400"/>
    <mergeCell ref="BI399:BI400"/>
    <mergeCell ref="BJ399:BJ400"/>
    <mergeCell ref="BK399:BK400"/>
    <mergeCell ref="BM399:BM400"/>
    <mergeCell ref="A399:A404"/>
    <mergeCell ref="B399:C402"/>
    <mergeCell ref="D399:D402"/>
    <mergeCell ref="E399:E400"/>
    <mergeCell ref="F399:F400"/>
    <mergeCell ref="G399:G400"/>
    <mergeCell ref="I399:I400"/>
    <mergeCell ref="AL399:AL400"/>
    <mergeCell ref="AM399:AM400"/>
    <mergeCell ref="AO399:AO400"/>
    <mergeCell ref="AP399:AP400"/>
    <mergeCell ref="AQ399:AQ400"/>
    <mergeCell ref="AS399:AS400"/>
    <mergeCell ref="AT399:AT400"/>
    <mergeCell ref="B425:C425"/>
    <mergeCell ref="B426:D426"/>
    <mergeCell ref="A421:A422"/>
    <mergeCell ref="B421:C421"/>
    <mergeCell ref="B422:D422"/>
    <mergeCell ref="A423:A424"/>
    <mergeCell ref="B423:C423"/>
    <mergeCell ref="B424:D424"/>
    <mergeCell ref="A425:A426"/>
    <mergeCell ref="M204:O206"/>
    <mergeCell ref="U204:W206"/>
    <mergeCell ref="AC204:AE206"/>
    <mergeCell ref="AK204:AM206"/>
    <mergeCell ref="M207:N207"/>
    <mergeCell ref="U207:V207"/>
    <mergeCell ref="AC207:AD207"/>
    <mergeCell ref="AG204:AI206"/>
    <mergeCell ref="AG207:AH207"/>
    <mergeCell ref="AG208:AI208"/>
    <mergeCell ref="AK208:AM208"/>
    <mergeCell ref="AO208:AQ208"/>
    <mergeCell ref="AS208:AU208"/>
    <mergeCell ref="AW208:AY208"/>
    <mergeCell ref="BQ204:BS206"/>
    <mergeCell ref="BU204:BW206"/>
    <mergeCell ref="BY204:CA206"/>
    <mergeCell ref="CC204:CE206"/>
    <mergeCell ref="CG204:CI206"/>
    <mergeCell ref="AO204:AQ206"/>
    <mergeCell ref="AS204:AU206"/>
    <mergeCell ref="AW204:AY206"/>
    <mergeCell ref="BA204:BC206"/>
    <mergeCell ref="BE204:BG206"/>
    <mergeCell ref="BI204:BK206"/>
    <mergeCell ref="BM204:BO206"/>
    <mergeCell ref="Q204:S206"/>
    <mergeCell ref="Q207:R207"/>
    <mergeCell ref="M208:O208"/>
    <mergeCell ref="Q208:S208"/>
    <mergeCell ref="U208:W208"/>
    <mergeCell ref="Y204:AA206"/>
    <mergeCell ref="Y207:Z207"/>
    <mergeCell ref="Y208:AA208"/>
    <mergeCell ref="AC208:AE208"/>
    <mergeCell ref="AK207:AL207"/>
    <mergeCell ref="AO207:AP207"/>
    <mergeCell ref="AS207:AT207"/>
    <mergeCell ref="AW207:AX207"/>
    <mergeCell ref="BA207:BB207"/>
    <mergeCell ref="BE207:BF207"/>
    <mergeCell ref="BI207:BJ207"/>
    <mergeCell ref="BA208:BC208"/>
    <mergeCell ref="BE208:BG208"/>
    <mergeCell ref="BU208:BW208"/>
    <mergeCell ref="BY208:CA208"/>
    <mergeCell ref="CC208:CE208"/>
    <mergeCell ref="CG208:CI208"/>
    <mergeCell ref="BV209:BV210"/>
    <mergeCell ref="BW209:BW210"/>
    <mergeCell ref="CI209:CI210"/>
    <mergeCell ref="CA209:CA210"/>
    <mergeCell ref="CC209:CC210"/>
    <mergeCell ref="CD209:CD210"/>
    <mergeCell ref="CE209:CE210"/>
    <mergeCell ref="CC211:CE213"/>
    <mergeCell ref="CC214:CD214"/>
    <mergeCell ref="CC215:CE215"/>
    <mergeCell ref="CG209:CG210"/>
    <mergeCell ref="CH209:CH210"/>
    <mergeCell ref="CG211:CI213"/>
    <mergeCell ref="CG214:CH214"/>
    <mergeCell ref="CG215:CI215"/>
    <mergeCell ref="BM207:BN207"/>
    <mergeCell ref="BQ207:BR207"/>
    <mergeCell ref="BU207:BV207"/>
    <mergeCell ref="BY207:BZ207"/>
    <mergeCell ref="CC207:CD207"/>
    <mergeCell ref="CG207:CH207"/>
    <mergeCell ref="BU209:BU210"/>
    <mergeCell ref="BY209:BY210"/>
    <mergeCell ref="BZ209:BZ210"/>
    <mergeCell ref="BU211:BW213"/>
    <mergeCell ref="BY211:CA213"/>
    <mergeCell ref="BU214:BV214"/>
    <mergeCell ref="BY214:BZ214"/>
    <mergeCell ref="BY215:CA215"/>
    <mergeCell ref="CC216:CC217"/>
    <mergeCell ref="CD216:CD217"/>
    <mergeCell ref="CE216:CE217"/>
    <mergeCell ref="CG216:CG217"/>
    <mergeCell ref="CH216:CH217"/>
    <mergeCell ref="CI216:CI217"/>
    <mergeCell ref="BU215:BW215"/>
    <mergeCell ref="BU216:BU217"/>
    <mergeCell ref="BV216:BV217"/>
    <mergeCell ref="BW216:BW217"/>
    <mergeCell ref="BY216:BY217"/>
    <mergeCell ref="BZ216:BZ217"/>
    <mergeCell ref="CA216:CA217"/>
    <mergeCell ref="BU218:BW220"/>
    <mergeCell ref="BY218:CA220"/>
    <mergeCell ref="CC218:CE220"/>
    <mergeCell ref="CG218:CI220"/>
    <mergeCell ref="BY221:BZ221"/>
    <mergeCell ref="CC221:CD221"/>
    <mergeCell ref="CG221:CH221"/>
    <mergeCell ref="BZ223:BZ224"/>
    <mergeCell ref="CA223:CA224"/>
    <mergeCell ref="CC223:CC224"/>
    <mergeCell ref="CD223:CD224"/>
    <mergeCell ref="CC225:CE227"/>
    <mergeCell ref="CC228:CD228"/>
    <mergeCell ref="CC229:CE229"/>
    <mergeCell ref="CC232:CE234"/>
    <mergeCell ref="CC235:CD235"/>
    <mergeCell ref="CC236:CE236"/>
    <mergeCell ref="CE223:CE224"/>
    <mergeCell ref="CG223:CG224"/>
    <mergeCell ref="CH223:CH224"/>
    <mergeCell ref="CI223:CI224"/>
    <mergeCell ref="CG225:CI227"/>
    <mergeCell ref="CG228:CH228"/>
    <mergeCell ref="CG229:CI229"/>
    <mergeCell ref="CG232:CI234"/>
    <mergeCell ref="CG235:CH235"/>
    <mergeCell ref="CG236:CI236"/>
    <mergeCell ref="BU221:BV221"/>
    <mergeCell ref="BU222:BW222"/>
    <mergeCell ref="BY222:CA222"/>
    <mergeCell ref="CC222:CE222"/>
    <mergeCell ref="CG222:CI222"/>
    <mergeCell ref="BU223:BU224"/>
    <mergeCell ref="BV223:BV224"/>
    <mergeCell ref="CC230:CC231"/>
    <mergeCell ref="CD230:CD231"/>
    <mergeCell ref="CE230:CE231"/>
    <mergeCell ref="CG230:CG231"/>
    <mergeCell ref="CH230:CH231"/>
    <mergeCell ref="CI230:CI231"/>
    <mergeCell ref="AO236:AQ236"/>
    <mergeCell ref="AS236:AU236"/>
    <mergeCell ref="AS235:AT235"/>
    <mergeCell ref="AW235:AX235"/>
    <mergeCell ref="M236:O236"/>
    <mergeCell ref="Q236:S236"/>
    <mergeCell ref="U236:W236"/>
    <mergeCell ref="Y236:AA236"/>
    <mergeCell ref="AC236:AE236"/>
    <mergeCell ref="BW223:BW224"/>
    <mergeCell ref="BY223:BY224"/>
    <mergeCell ref="BU225:BW227"/>
    <mergeCell ref="BY225:CA227"/>
    <mergeCell ref="BU228:BV228"/>
    <mergeCell ref="BY228:BZ228"/>
    <mergeCell ref="BY229:CA229"/>
    <mergeCell ref="BU229:BW229"/>
    <mergeCell ref="BU230:BU231"/>
    <mergeCell ref="BV230:BV231"/>
    <mergeCell ref="BW230:BW231"/>
    <mergeCell ref="BY230:BY231"/>
    <mergeCell ref="BZ230:BZ231"/>
    <mergeCell ref="CA230:CA231"/>
    <mergeCell ref="BA235:BB235"/>
    <mergeCell ref="BE235:BF235"/>
    <mergeCell ref="BI235:BJ235"/>
    <mergeCell ref="BM235:BN235"/>
    <mergeCell ref="BU232:BW234"/>
    <mergeCell ref="BU235:BV235"/>
    <mergeCell ref="BU236:BW236"/>
    <mergeCell ref="BY232:CA234"/>
    <mergeCell ref="Y235:Z235"/>
    <mergeCell ref="AC235:AD235"/>
    <mergeCell ref="AG235:AH235"/>
    <mergeCell ref="AK235:AL235"/>
    <mergeCell ref="AO235:AP235"/>
    <mergeCell ref="BQ235:BR235"/>
    <mergeCell ref="BY235:BZ235"/>
    <mergeCell ref="BQ236:BS236"/>
    <mergeCell ref="BY236:CA236"/>
    <mergeCell ref="AG236:AI236"/>
    <mergeCell ref="AK236:AM236"/>
    <mergeCell ref="AW236:AY236"/>
    <mergeCell ref="BA236:BC236"/>
    <mergeCell ref="BE236:BG236"/>
    <mergeCell ref="BI236:BK236"/>
    <mergeCell ref="BM236:BO236"/>
    <mergeCell ref="BN237:BN238"/>
    <mergeCell ref="BO237:BO238"/>
    <mergeCell ref="BQ237:BQ238"/>
    <mergeCell ref="BR237:BR238"/>
    <mergeCell ref="BS237:BS238"/>
    <mergeCell ref="BU237:BU238"/>
    <mergeCell ref="BV237:BV238"/>
    <mergeCell ref="CG237:CG238"/>
    <mergeCell ref="CH237:CH238"/>
    <mergeCell ref="CI237:CI238"/>
    <mergeCell ref="BW237:BW238"/>
    <mergeCell ref="BY237:BY238"/>
    <mergeCell ref="BZ237:BZ238"/>
    <mergeCell ref="CA237:CA238"/>
    <mergeCell ref="CC237:CC238"/>
    <mergeCell ref="CD237:CD238"/>
    <mergeCell ref="CE237:CE238"/>
    <mergeCell ref="BQ239:BS241"/>
    <mergeCell ref="BU239:BW241"/>
    <mergeCell ref="BY239:CA241"/>
    <mergeCell ref="CC239:CE241"/>
    <mergeCell ref="CG239:CI241"/>
    <mergeCell ref="AO239:AQ241"/>
    <mergeCell ref="AS239:AU241"/>
    <mergeCell ref="AW239:AY241"/>
    <mergeCell ref="BA239:BC241"/>
    <mergeCell ref="BE239:BG241"/>
    <mergeCell ref="BI239:BK241"/>
    <mergeCell ref="BM239:BO241"/>
    <mergeCell ref="AG242:AH242"/>
    <mergeCell ref="AK242:AL242"/>
    <mergeCell ref="A243:D243"/>
    <mergeCell ref="E243:CI243"/>
    <mergeCell ref="E242:F242"/>
    <mergeCell ref="I242:J242"/>
    <mergeCell ref="M242:N242"/>
    <mergeCell ref="Q242:R242"/>
    <mergeCell ref="U242:V242"/>
    <mergeCell ref="Y242:Z242"/>
    <mergeCell ref="AC242:AD242"/>
    <mergeCell ref="BQ242:BR242"/>
    <mergeCell ref="BU242:BV242"/>
    <mergeCell ref="BY242:BZ242"/>
    <mergeCell ref="CC242:CD242"/>
    <mergeCell ref="CG242:CH242"/>
    <mergeCell ref="AO242:AP242"/>
    <mergeCell ref="AS242:AT242"/>
    <mergeCell ref="AW242:AX242"/>
    <mergeCell ref="BA242:BB242"/>
    <mergeCell ref="BE242:BF242"/>
    <mergeCell ref="BI242:BJ242"/>
    <mergeCell ref="BM242:BN242"/>
    <mergeCell ref="J237:J238"/>
    <mergeCell ref="K237:K238"/>
    <mergeCell ref="M237:M238"/>
    <mergeCell ref="N237:N238"/>
    <mergeCell ref="O237:O238"/>
    <mergeCell ref="Q237:Q238"/>
    <mergeCell ref="R237:R238"/>
    <mergeCell ref="S237:S238"/>
    <mergeCell ref="U237:U238"/>
    <mergeCell ref="V237:V238"/>
    <mergeCell ref="W237:W238"/>
    <mergeCell ref="Y237:Y238"/>
    <mergeCell ref="Z237:Z238"/>
    <mergeCell ref="AA237:AA238"/>
    <mergeCell ref="AC237:AC238"/>
    <mergeCell ref="AD237:AD238"/>
    <mergeCell ref="AE237:AE238"/>
    <mergeCell ref="AG237:AG238"/>
    <mergeCell ref="AH237:AH238"/>
    <mergeCell ref="AI237:AI238"/>
    <mergeCell ref="AK237:AK238"/>
    <mergeCell ref="AU237:AU238"/>
    <mergeCell ref="AW237:AW238"/>
    <mergeCell ref="AX237:AX238"/>
    <mergeCell ref="AY237:AY238"/>
    <mergeCell ref="BA237:BA238"/>
    <mergeCell ref="BB237:BB238"/>
    <mergeCell ref="BC237:BC238"/>
    <mergeCell ref="BE237:BE238"/>
    <mergeCell ref="BF237:BF238"/>
    <mergeCell ref="BG237:BG238"/>
    <mergeCell ref="BI237:BI238"/>
    <mergeCell ref="BJ237:BJ238"/>
    <mergeCell ref="BK237:BK238"/>
    <mergeCell ref="BM237:BM238"/>
    <mergeCell ref="A237:A242"/>
    <mergeCell ref="B237:C240"/>
    <mergeCell ref="D237:D240"/>
    <mergeCell ref="E237:E238"/>
    <mergeCell ref="F237:F238"/>
    <mergeCell ref="G237:G238"/>
    <mergeCell ref="I237:I238"/>
    <mergeCell ref="AL237:AL238"/>
    <mergeCell ref="AM237:AM238"/>
    <mergeCell ref="AO237:AO238"/>
    <mergeCell ref="AP237:AP238"/>
    <mergeCell ref="AQ237:AQ238"/>
    <mergeCell ref="AS237:AS238"/>
    <mergeCell ref="AT237:AT238"/>
    <mergeCell ref="CH246:CH247"/>
    <mergeCell ref="CI246:CI247"/>
    <mergeCell ref="CG248:CG249"/>
    <mergeCell ref="CH248:CH249"/>
    <mergeCell ref="CI248:CI249"/>
    <mergeCell ref="CG250:CI252"/>
    <mergeCell ref="CG253:CH253"/>
    <mergeCell ref="CG254:CI254"/>
    <mergeCell ref="CG255:CG256"/>
    <mergeCell ref="CH255:CH256"/>
    <mergeCell ref="CI255:CI256"/>
    <mergeCell ref="CG257:CI259"/>
    <mergeCell ref="CG260:CH260"/>
    <mergeCell ref="CG261:CI261"/>
    <mergeCell ref="CH269:CH270"/>
    <mergeCell ref="CI269:CI270"/>
    <mergeCell ref="CG271:CI273"/>
    <mergeCell ref="CG274:CH274"/>
    <mergeCell ref="CG275:CI275"/>
    <mergeCell ref="CG276:CG277"/>
    <mergeCell ref="CH276:CH277"/>
    <mergeCell ref="CI276:CI277"/>
    <mergeCell ref="CG262:CG263"/>
    <mergeCell ref="CH262:CH263"/>
    <mergeCell ref="CI262:CI263"/>
    <mergeCell ref="CG264:CI266"/>
    <mergeCell ref="CG267:CH267"/>
    <mergeCell ref="CG268:CI268"/>
    <mergeCell ref="CG269:CG270"/>
    <mergeCell ref="M244:M245"/>
    <mergeCell ref="N244:O245"/>
    <mergeCell ref="Y244:Y245"/>
    <mergeCell ref="Z244:AA245"/>
    <mergeCell ref="AC244:AC245"/>
    <mergeCell ref="AD244:AE245"/>
    <mergeCell ref="AG244:AG245"/>
    <mergeCell ref="AH244:AI245"/>
    <mergeCell ref="AK244:AK245"/>
    <mergeCell ref="AL244:AM245"/>
    <mergeCell ref="AO244:AO245"/>
    <mergeCell ref="AP244:AQ245"/>
    <mergeCell ref="AS244:AS245"/>
    <mergeCell ref="AT244:AU245"/>
    <mergeCell ref="AW244:AW245"/>
    <mergeCell ref="AX244:AY245"/>
    <mergeCell ref="BA244:BA245"/>
    <mergeCell ref="BB244:BC245"/>
    <mergeCell ref="BE244:BE245"/>
    <mergeCell ref="BF244:BG245"/>
    <mergeCell ref="BI244:BI245"/>
    <mergeCell ref="BJ244:BK245"/>
    <mergeCell ref="BM244:BM245"/>
    <mergeCell ref="BN244:BO245"/>
    <mergeCell ref="BQ244:BQ245"/>
    <mergeCell ref="BR244:BS245"/>
    <mergeCell ref="BU244:BU245"/>
    <mergeCell ref="BV244:BW245"/>
    <mergeCell ref="E246:E247"/>
    <mergeCell ref="F246:F247"/>
    <mergeCell ref="A244:A247"/>
    <mergeCell ref="B244:C247"/>
    <mergeCell ref="D244:D247"/>
    <mergeCell ref="E244:E245"/>
    <mergeCell ref="F244:G245"/>
    <mergeCell ref="I244:I245"/>
    <mergeCell ref="J244:K245"/>
    <mergeCell ref="G246:G247"/>
    <mergeCell ref="BY244:BY245"/>
    <mergeCell ref="BZ244:CA245"/>
    <mergeCell ref="CC244:CC245"/>
    <mergeCell ref="CD244:CE245"/>
    <mergeCell ref="CG244:CG245"/>
    <mergeCell ref="CH244:CI245"/>
    <mergeCell ref="CG246:CG247"/>
    <mergeCell ref="U285:W287"/>
    <mergeCell ref="U288:V288"/>
    <mergeCell ref="E285:G287"/>
    <mergeCell ref="I285:K287"/>
    <mergeCell ref="Q285:S287"/>
    <mergeCell ref="Y285:AA287"/>
    <mergeCell ref="I288:J288"/>
    <mergeCell ref="Q288:R288"/>
    <mergeCell ref="Y288:Z288"/>
    <mergeCell ref="BI285:BK287"/>
    <mergeCell ref="BM285:BO287"/>
    <mergeCell ref="BQ285:BS287"/>
    <mergeCell ref="BU285:BW287"/>
    <mergeCell ref="BY285:CA287"/>
    <mergeCell ref="CC285:CE287"/>
    <mergeCell ref="CG285:CI287"/>
    <mergeCell ref="AG285:AI287"/>
    <mergeCell ref="AK285:AM287"/>
    <mergeCell ref="AO285:AQ287"/>
    <mergeCell ref="AS285:AU287"/>
    <mergeCell ref="AW285:AY287"/>
    <mergeCell ref="BA285:BC287"/>
    <mergeCell ref="BE285:BG287"/>
    <mergeCell ref="M285:O287"/>
    <mergeCell ref="M288:N288"/>
    <mergeCell ref="AC285:AE287"/>
    <mergeCell ref="AC288:AD288"/>
    <mergeCell ref="AG288:AH288"/>
    <mergeCell ref="AK288:AL288"/>
    <mergeCell ref="AO288:AP288"/>
    <mergeCell ref="AS288:AT288"/>
    <mergeCell ref="AW288:AX288"/>
    <mergeCell ref="CC288:CD288"/>
    <mergeCell ref="CG288:CH288"/>
    <mergeCell ref="BU289:BW289"/>
    <mergeCell ref="BY289:CA289"/>
    <mergeCell ref="CC289:CE289"/>
    <mergeCell ref="CG289:CI289"/>
    <mergeCell ref="BA288:BB288"/>
    <mergeCell ref="BE288:BF288"/>
    <mergeCell ref="BI288:BJ288"/>
    <mergeCell ref="BM288:BN288"/>
    <mergeCell ref="BQ288:BR288"/>
    <mergeCell ref="BU288:BV288"/>
    <mergeCell ref="BY288:BZ288"/>
    <mergeCell ref="I289:K289"/>
    <mergeCell ref="M289:O289"/>
    <mergeCell ref="Q289:S289"/>
    <mergeCell ref="U289:W289"/>
    <mergeCell ref="Y289:AA289"/>
    <mergeCell ref="AC289:AE289"/>
    <mergeCell ref="AG289:AI289"/>
    <mergeCell ref="BU278:BW280"/>
    <mergeCell ref="BY278:CA280"/>
    <mergeCell ref="CC278:CE280"/>
    <mergeCell ref="CG278:CI280"/>
    <mergeCell ref="AS278:AU280"/>
    <mergeCell ref="AW278:AY280"/>
    <mergeCell ref="BA278:BC280"/>
    <mergeCell ref="BE278:BG280"/>
    <mergeCell ref="BI278:BK280"/>
    <mergeCell ref="BM278:BO280"/>
    <mergeCell ref="BQ278:BS280"/>
    <mergeCell ref="BM281:BN281"/>
    <mergeCell ref="BQ281:BR281"/>
    <mergeCell ref="BU281:BV281"/>
    <mergeCell ref="BY281:BZ281"/>
    <mergeCell ref="CC281:CD281"/>
    <mergeCell ref="CG281:CH281"/>
    <mergeCell ref="AK281:AL281"/>
    <mergeCell ref="AO281:AP281"/>
    <mergeCell ref="AS281:AT281"/>
    <mergeCell ref="AW281:AX281"/>
    <mergeCell ref="BA281:BB281"/>
    <mergeCell ref="BE281:BF281"/>
    <mergeCell ref="BI281:BJ281"/>
    <mergeCell ref="I281:J281"/>
    <mergeCell ref="M281:N281"/>
    <mergeCell ref="Q281:R281"/>
    <mergeCell ref="U281:V281"/>
    <mergeCell ref="Y281:Z281"/>
    <mergeCell ref="AC281:AD281"/>
    <mergeCell ref="AG281:AH281"/>
    <mergeCell ref="I282:K282"/>
    <mergeCell ref="M282:O282"/>
    <mergeCell ref="Q282:S282"/>
    <mergeCell ref="U282:W282"/>
    <mergeCell ref="Y282:AA282"/>
    <mergeCell ref="AC282:AE282"/>
    <mergeCell ref="AG282:AI282"/>
    <mergeCell ref="BM282:BO282"/>
    <mergeCell ref="BQ282:BS282"/>
    <mergeCell ref="BU282:BW282"/>
    <mergeCell ref="BY282:CA282"/>
    <mergeCell ref="CC282:CE282"/>
    <mergeCell ref="CG282:CI282"/>
    <mergeCell ref="AK282:AM282"/>
    <mergeCell ref="AO282:AQ282"/>
    <mergeCell ref="AS282:AU282"/>
    <mergeCell ref="AW282:AY282"/>
    <mergeCell ref="BA282:BC282"/>
    <mergeCell ref="BE282:BG282"/>
    <mergeCell ref="BI282:BK282"/>
    <mergeCell ref="AG239:AI241"/>
    <mergeCell ref="AK239:AM241"/>
    <mergeCell ref="E239:G241"/>
    <mergeCell ref="I239:K241"/>
    <mergeCell ref="M239:O241"/>
    <mergeCell ref="Q239:S241"/>
    <mergeCell ref="U239:W241"/>
    <mergeCell ref="Y239:AA241"/>
    <mergeCell ref="AC239:AE241"/>
    <mergeCell ref="A248:A253"/>
    <mergeCell ref="B248:C251"/>
    <mergeCell ref="D248:D251"/>
    <mergeCell ref="E248:E249"/>
    <mergeCell ref="F248:F249"/>
    <mergeCell ref="G248:G249"/>
    <mergeCell ref="E250:G252"/>
    <mergeCell ref="F255:F256"/>
    <mergeCell ref="G255:G256"/>
    <mergeCell ref="E257:G259"/>
    <mergeCell ref="E260:F260"/>
    <mergeCell ref="E253:F253"/>
    <mergeCell ref="A254:D254"/>
    <mergeCell ref="E254:G254"/>
    <mergeCell ref="A255:A260"/>
    <mergeCell ref="B255:C258"/>
    <mergeCell ref="D255:D258"/>
    <mergeCell ref="E255:E256"/>
    <mergeCell ref="E267:F267"/>
    <mergeCell ref="A268:D268"/>
    <mergeCell ref="E268:G268"/>
    <mergeCell ref="AC278:AE280"/>
    <mergeCell ref="AG278:AI280"/>
    <mergeCell ref="AK278:AM280"/>
    <mergeCell ref="AO278:AQ280"/>
    <mergeCell ref="CD283:CD284"/>
    <mergeCell ref="CE283:CE284"/>
    <mergeCell ref="CG283:CG284"/>
    <mergeCell ref="CH283:CH284"/>
    <mergeCell ref="CI283:CI284"/>
    <mergeCell ref="BU283:BU284"/>
    <mergeCell ref="BV283:BV284"/>
    <mergeCell ref="BW283:BW284"/>
    <mergeCell ref="BY283:BY284"/>
    <mergeCell ref="BZ283:BZ284"/>
    <mergeCell ref="CA283:CA284"/>
    <mergeCell ref="CC283:CC284"/>
    <mergeCell ref="BM289:BO289"/>
    <mergeCell ref="BQ289:BS289"/>
    <mergeCell ref="AK289:AM289"/>
    <mergeCell ref="AO289:AQ289"/>
    <mergeCell ref="AS289:AU289"/>
    <mergeCell ref="AW289:AY289"/>
    <mergeCell ref="BA289:BC289"/>
    <mergeCell ref="BE289:BG289"/>
    <mergeCell ref="BI289:BK289"/>
    <mergeCell ref="G262:G263"/>
    <mergeCell ref="E264:G266"/>
    <mergeCell ref="A261:D261"/>
    <mergeCell ref="E261:G261"/>
    <mergeCell ref="A262:A267"/>
    <mergeCell ref="B262:C265"/>
    <mergeCell ref="D262:D265"/>
    <mergeCell ref="E262:E263"/>
    <mergeCell ref="F262:F263"/>
    <mergeCell ref="A269:A274"/>
    <mergeCell ref="B269:C272"/>
    <mergeCell ref="D269:D272"/>
    <mergeCell ref="E269:E270"/>
    <mergeCell ref="F269:F270"/>
    <mergeCell ref="G269:G270"/>
    <mergeCell ref="E271:G273"/>
    <mergeCell ref="F276:F277"/>
    <mergeCell ref="G276:G277"/>
    <mergeCell ref="E278:G280"/>
    <mergeCell ref="E281:F281"/>
    <mergeCell ref="E274:F274"/>
    <mergeCell ref="A275:D275"/>
    <mergeCell ref="E275:G275"/>
    <mergeCell ref="A276:A281"/>
    <mergeCell ref="B276:C279"/>
    <mergeCell ref="D276:D279"/>
    <mergeCell ref="E276:E277"/>
    <mergeCell ref="F290:F291"/>
    <mergeCell ref="G290:G291"/>
    <mergeCell ref="AT290:AT291"/>
    <mergeCell ref="AU290:AU291"/>
    <mergeCell ref="AW290:AW291"/>
    <mergeCell ref="AX290:AX291"/>
    <mergeCell ref="AY290:AY291"/>
    <mergeCell ref="BA290:BA291"/>
    <mergeCell ref="BB290:BB291"/>
    <mergeCell ref="BC290:BC291"/>
    <mergeCell ref="BE290:BE291"/>
    <mergeCell ref="BF290:BF291"/>
    <mergeCell ref="BG290:BG291"/>
    <mergeCell ref="BI290:BI291"/>
    <mergeCell ref="BJ290:BJ291"/>
    <mergeCell ref="BK290:BK291"/>
    <mergeCell ref="CD290:CD291"/>
    <mergeCell ref="CE290:CE291"/>
    <mergeCell ref="CG290:CG291"/>
    <mergeCell ref="CH290:CH291"/>
    <mergeCell ref="CI290:CI291"/>
    <mergeCell ref="BU290:BU291"/>
    <mergeCell ref="BV290:BV291"/>
    <mergeCell ref="BW290:BW291"/>
    <mergeCell ref="BY290:BY291"/>
    <mergeCell ref="BZ290:BZ291"/>
    <mergeCell ref="CA290:CA291"/>
    <mergeCell ref="CC290:CC291"/>
    <mergeCell ref="AC295:AD295"/>
    <mergeCell ref="AG295:AH295"/>
    <mergeCell ref="E292:G294"/>
    <mergeCell ref="E295:F295"/>
    <mergeCell ref="I295:J295"/>
    <mergeCell ref="M295:N295"/>
    <mergeCell ref="Q295:R295"/>
    <mergeCell ref="U295:V295"/>
    <mergeCell ref="Y295:Z295"/>
    <mergeCell ref="A296:D296"/>
    <mergeCell ref="E296:G296"/>
    <mergeCell ref="I296:K296"/>
    <mergeCell ref="M296:O296"/>
    <mergeCell ref="Q296:S296"/>
    <mergeCell ref="U296:W296"/>
    <mergeCell ref="Y296:AA296"/>
    <mergeCell ref="BE296:BG296"/>
    <mergeCell ref="BI296:BK296"/>
    <mergeCell ref="BM296:BO296"/>
    <mergeCell ref="BQ296:BS296"/>
    <mergeCell ref="BU296:BW296"/>
    <mergeCell ref="BY296:CA296"/>
    <mergeCell ref="CC296:CE296"/>
    <mergeCell ref="CG296:CI296"/>
    <mergeCell ref="AC296:AE296"/>
    <mergeCell ref="AG296:AI296"/>
    <mergeCell ref="AK296:AM296"/>
    <mergeCell ref="AO296:AQ296"/>
    <mergeCell ref="AS296:AU296"/>
    <mergeCell ref="AW296:AY296"/>
    <mergeCell ref="BA296:BC296"/>
    <mergeCell ref="AK292:AM294"/>
    <mergeCell ref="AO292:AQ294"/>
    <mergeCell ref="AO299:AQ301"/>
    <mergeCell ref="AS299:AU301"/>
    <mergeCell ref="AW299:AY301"/>
    <mergeCell ref="I292:K294"/>
    <mergeCell ref="M292:O294"/>
    <mergeCell ref="Q292:S294"/>
    <mergeCell ref="U292:W294"/>
    <mergeCell ref="Y292:AA294"/>
    <mergeCell ref="AC292:AE294"/>
    <mergeCell ref="AG292:AI294"/>
    <mergeCell ref="J297:J298"/>
    <mergeCell ref="K297:K298"/>
    <mergeCell ref="M297:M298"/>
    <mergeCell ref="N297:N298"/>
    <mergeCell ref="O297:O298"/>
    <mergeCell ref="Q297:Q298"/>
    <mergeCell ref="R297:R298"/>
    <mergeCell ref="S297:S298"/>
    <mergeCell ref="U297:U298"/>
    <mergeCell ref="V297:V298"/>
    <mergeCell ref="W297:W298"/>
    <mergeCell ref="Y297:Y298"/>
    <mergeCell ref="Z297:Z298"/>
    <mergeCell ref="AA297:AA298"/>
    <mergeCell ref="AC297:AC298"/>
    <mergeCell ref="AD297:AD298"/>
    <mergeCell ref="AE297:AE298"/>
    <mergeCell ref="AG297:AG298"/>
    <mergeCell ref="AH297:AH298"/>
    <mergeCell ref="AI297:AI298"/>
    <mergeCell ref="AK297:AK298"/>
    <mergeCell ref="BU299:BW301"/>
    <mergeCell ref="BY299:CA301"/>
    <mergeCell ref="CC299:CE301"/>
    <mergeCell ref="CG299:CI301"/>
    <mergeCell ref="BE297:BE298"/>
    <mergeCell ref="BF297:BF298"/>
    <mergeCell ref="BA299:BC301"/>
    <mergeCell ref="BE299:BG301"/>
    <mergeCell ref="BI299:BK301"/>
    <mergeCell ref="BM299:BO301"/>
    <mergeCell ref="BQ299:BS301"/>
    <mergeCell ref="G283:G284"/>
    <mergeCell ref="I283:I284"/>
    <mergeCell ref="J283:J284"/>
    <mergeCell ref="K283:K284"/>
    <mergeCell ref="M283:M284"/>
    <mergeCell ref="N283:N284"/>
    <mergeCell ref="O283:O284"/>
    <mergeCell ref="Q283:Q284"/>
    <mergeCell ref="R283:R284"/>
    <mergeCell ref="S283:S284"/>
    <mergeCell ref="U283:U284"/>
    <mergeCell ref="V283:V284"/>
    <mergeCell ref="W283:W284"/>
    <mergeCell ref="Y283:Y284"/>
    <mergeCell ref="Z283:Z284"/>
    <mergeCell ref="AA283:AA284"/>
    <mergeCell ref="AC283:AC284"/>
    <mergeCell ref="AD283:AD284"/>
    <mergeCell ref="AE283:AE284"/>
    <mergeCell ref="AG283:AG284"/>
    <mergeCell ref="AH283:AH284"/>
    <mergeCell ref="AI283:AI284"/>
    <mergeCell ref="AK283:AK284"/>
    <mergeCell ref="AL283:AL284"/>
    <mergeCell ref="AM283:AM284"/>
    <mergeCell ref="AO283:AO284"/>
    <mergeCell ref="AP283:AP284"/>
    <mergeCell ref="AQ283:AQ284"/>
    <mergeCell ref="AS283:AS284"/>
    <mergeCell ref="AT283:AT284"/>
    <mergeCell ref="AU283:AU284"/>
    <mergeCell ref="AW283:AW284"/>
    <mergeCell ref="AX283:AX284"/>
    <mergeCell ref="AY283:AY284"/>
    <mergeCell ref="BA283:BA284"/>
    <mergeCell ref="BB283:BB284"/>
    <mergeCell ref="BC283:BC284"/>
    <mergeCell ref="BE283:BE284"/>
    <mergeCell ref="BF283:BF284"/>
    <mergeCell ref="BG283:BG284"/>
    <mergeCell ref="BI283:BI284"/>
    <mergeCell ref="BJ283:BJ284"/>
    <mergeCell ref="BK283:BK284"/>
    <mergeCell ref="BM283:BM284"/>
    <mergeCell ref="BN283:BN284"/>
    <mergeCell ref="BO283:BO284"/>
    <mergeCell ref="BQ283:BQ284"/>
    <mergeCell ref="BR283:BR284"/>
    <mergeCell ref="BS283:BS284"/>
    <mergeCell ref="BU292:BW294"/>
    <mergeCell ref="BY292:CA294"/>
    <mergeCell ref="CC292:CE294"/>
    <mergeCell ref="CG292:CI294"/>
    <mergeCell ref="AS292:AU294"/>
    <mergeCell ref="AW292:AY294"/>
    <mergeCell ref="BA292:BC294"/>
    <mergeCell ref="BE292:BG294"/>
    <mergeCell ref="BI292:BK294"/>
    <mergeCell ref="BM292:BO294"/>
    <mergeCell ref="BQ292:BS294"/>
    <mergeCell ref="BM295:BN295"/>
    <mergeCell ref="BQ295:BR295"/>
    <mergeCell ref="BU295:BV295"/>
    <mergeCell ref="BY295:BZ295"/>
    <mergeCell ref="CC295:CD295"/>
    <mergeCell ref="CG295:CH295"/>
    <mergeCell ref="AK295:AL295"/>
    <mergeCell ref="AO295:AP295"/>
    <mergeCell ref="AS295:AT295"/>
    <mergeCell ref="AW295:AX295"/>
    <mergeCell ref="BA295:BB295"/>
    <mergeCell ref="BE295:BF295"/>
    <mergeCell ref="BI295:BJ295"/>
    <mergeCell ref="A282:D282"/>
    <mergeCell ref="E282:G282"/>
    <mergeCell ref="A283:A288"/>
    <mergeCell ref="B283:C286"/>
    <mergeCell ref="D283:D286"/>
    <mergeCell ref="E283:E284"/>
    <mergeCell ref="F283:F284"/>
    <mergeCell ref="R290:R291"/>
    <mergeCell ref="S290:S291"/>
    <mergeCell ref="U290:U291"/>
    <mergeCell ref="V290:V291"/>
    <mergeCell ref="W290:W291"/>
    <mergeCell ref="Y290:Y291"/>
    <mergeCell ref="Z290:Z291"/>
    <mergeCell ref="AA290:AA291"/>
    <mergeCell ref="AC290:AC291"/>
    <mergeCell ref="AD290:AD291"/>
    <mergeCell ref="AE290:AE291"/>
    <mergeCell ref="AG290:AG291"/>
    <mergeCell ref="AH290:AH291"/>
    <mergeCell ref="AI290:AI291"/>
    <mergeCell ref="BM290:BM291"/>
    <mergeCell ref="BN290:BN291"/>
    <mergeCell ref="BO290:BO291"/>
    <mergeCell ref="BQ290:BQ291"/>
    <mergeCell ref="BR290:BR291"/>
    <mergeCell ref="BS290:BS291"/>
    <mergeCell ref="I290:I291"/>
    <mergeCell ref="J290:J291"/>
    <mergeCell ref="K290:K291"/>
    <mergeCell ref="M290:M291"/>
    <mergeCell ref="N290:N291"/>
    <mergeCell ref="O290:O291"/>
    <mergeCell ref="Q290:Q291"/>
    <mergeCell ref="E288:F288"/>
    <mergeCell ref="A289:D289"/>
    <mergeCell ref="E289:G289"/>
    <mergeCell ref="A290:A295"/>
    <mergeCell ref="B290:C293"/>
    <mergeCell ref="D290:D293"/>
    <mergeCell ref="E290:E291"/>
    <mergeCell ref="AK290:AK291"/>
    <mergeCell ref="AL290:AL291"/>
    <mergeCell ref="AM290:AM291"/>
    <mergeCell ref="AO290:AO291"/>
    <mergeCell ref="AP290:AP291"/>
    <mergeCell ref="AQ290:AQ291"/>
    <mergeCell ref="AS290:AS291"/>
    <mergeCell ref="AL297:AL298"/>
    <mergeCell ref="AM297:AM298"/>
    <mergeCell ref="AO297:AO298"/>
    <mergeCell ref="AP297:AP298"/>
    <mergeCell ref="AQ297:AQ298"/>
    <mergeCell ref="AS297:AS298"/>
    <mergeCell ref="AT297:AT298"/>
    <mergeCell ref="AU297:AU298"/>
    <mergeCell ref="AW297:AW298"/>
    <mergeCell ref="AX297:AX298"/>
    <mergeCell ref="AY297:AY298"/>
    <mergeCell ref="BA297:BA298"/>
    <mergeCell ref="BB297:BB298"/>
    <mergeCell ref="BC297:BC298"/>
    <mergeCell ref="BG297:BG298"/>
    <mergeCell ref="BI297:BI298"/>
    <mergeCell ref="BJ297:BJ298"/>
    <mergeCell ref="BK297:BK298"/>
    <mergeCell ref="BM297:BM298"/>
    <mergeCell ref="BN297:BN298"/>
    <mergeCell ref="BO297:BO298"/>
    <mergeCell ref="BZ297:BZ298"/>
    <mergeCell ref="CA297:CA298"/>
    <mergeCell ref="CC297:CC298"/>
    <mergeCell ref="CD297:CD298"/>
    <mergeCell ref="CE297:CE298"/>
    <mergeCell ref="CG297:CG298"/>
    <mergeCell ref="CH297:CH298"/>
    <mergeCell ref="CI297:CI298"/>
    <mergeCell ref="BQ297:BQ298"/>
    <mergeCell ref="BR297:BR298"/>
    <mergeCell ref="BS297:BS298"/>
    <mergeCell ref="BU297:BU298"/>
    <mergeCell ref="BV297:BV298"/>
    <mergeCell ref="BW297:BW298"/>
    <mergeCell ref="BY297:BY298"/>
    <mergeCell ref="AL304:AL305"/>
    <mergeCell ref="AM304:AM305"/>
    <mergeCell ref="AO304:AO305"/>
    <mergeCell ref="AP304:AP305"/>
    <mergeCell ref="AQ304:AQ305"/>
    <mergeCell ref="AS304:AS305"/>
    <mergeCell ref="AT304:AT305"/>
    <mergeCell ref="AU304:AU305"/>
    <mergeCell ref="AW304:AW305"/>
    <mergeCell ref="AX304:AX305"/>
    <mergeCell ref="AY304:AY305"/>
    <mergeCell ref="BA304:BA305"/>
    <mergeCell ref="BB304:BB305"/>
    <mergeCell ref="BC304:BC305"/>
    <mergeCell ref="BG304:BG305"/>
    <mergeCell ref="BI304:BI305"/>
    <mergeCell ref="BJ304:BJ305"/>
    <mergeCell ref="BK304:BK305"/>
    <mergeCell ref="BM304:BM305"/>
    <mergeCell ref="BN304:BN305"/>
    <mergeCell ref="BO304:BO305"/>
    <mergeCell ref="BZ304:BZ305"/>
    <mergeCell ref="CA304:CA305"/>
    <mergeCell ref="CC304:CC305"/>
    <mergeCell ref="CD304:CD305"/>
    <mergeCell ref="CE304:CE305"/>
    <mergeCell ref="CG304:CG305"/>
    <mergeCell ref="CH304:CH305"/>
    <mergeCell ref="CI304:CI305"/>
    <mergeCell ref="BQ304:BQ305"/>
    <mergeCell ref="BR304:BR305"/>
    <mergeCell ref="BS304:BS305"/>
    <mergeCell ref="BU304:BU305"/>
    <mergeCell ref="BV304:BV305"/>
    <mergeCell ref="BW304:BW305"/>
    <mergeCell ref="BY304:BY305"/>
    <mergeCell ref="AG306:AI308"/>
    <mergeCell ref="AK306:AM308"/>
    <mergeCell ref="E306:G308"/>
    <mergeCell ref="I306:K308"/>
    <mergeCell ref="M306:O308"/>
    <mergeCell ref="Q306:S308"/>
    <mergeCell ref="U306:W308"/>
    <mergeCell ref="Y306:AA308"/>
    <mergeCell ref="AC306:AE308"/>
    <mergeCell ref="E302:F302"/>
    <mergeCell ref="I302:J302"/>
    <mergeCell ref="M302:N302"/>
    <mergeCell ref="Q302:R302"/>
    <mergeCell ref="U302:V302"/>
    <mergeCell ref="Y302:Z302"/>
    <mergeCell ref="AC302:AD302"/>
    <mergeCell ref="BI302:BJ302"/>
    <mergeCell ref="BM302:BN302"/>
    <mergeCell ref="BQ302:BR302"/>
    <mergeCell ref="BU302:BV302"/>
    <mergeCell ref="BY302:BZ302"/>
    <mergeCell ref="CC302:CD302"/>
    <mergeCell ref="CG302:CH302"/>
    <mergeCell ref="AG302:AH302"/>
    <mergeCell ref="AK302:AL302"/>
    <mergeCell ref="AO302:AP302"/>
    <mergeCell ref="AS302:AT302"/>
    <mergeCell ref="AW302:AX302"/>
    <mergeCell ref="BA302:BB302"/>
    <mergeCell ref="BE302:BF302"/>
    <mergeCell ref="A297:A302"/>
    <mergeCell ref="B297:C300"/>
    <mergeCell ref="D297:D300"/>
    <mergeCell ref="E297:E298"/>
    <mergeCell ref="F297:F298"/>
    <mergeCell ref="G297:G298"/>
    <mergeCell ref="I297:I298"/>
    <mergeCell ref="A303:D303"/>
    <mergeCell ref="E303:G303"/>
    <mergeCell ref="I303:K303"/>
    <mergeCell ref="M303:O303"/>
    <mergeCell ref="Q303:S303"/>
    <mergeCell ref="U303:W303"/>
    <mergeCell ref="Y303:AA303"/>
    <mergeCell ref="BE303:BG303"/>
    <mergeCell ref="BI303:BK303"/>
    <mergeCell ref="BM303:BO303"/>
    <mergeCell ref="BQ303:BS303"/>
    <mergeCell ref="BU303:BW303"/>
    <mergeCell ref="BY303:CA303"/>
    <mergeCell ref="CC303:CE303"/>
    <mergeCell ref="CG303:CI303"/>
    <mergeCell ref="AC303:AE303"/>
    <mergeCell ref="AG303:AI303"/>
    <mergeCell ref="AK303:AM303"/>
    <mergeCell ref="AO303:AQ303"/>
    <mergeCell ref="AS303:AU303"/>
    <mergeCell ref="AW303:AY303"/>
    <mergeCell ref="BA303:BC303"/>
    <mergeCell ref="BY306:CA308"/>
    <mergeCell ref="CC306:CE308"/>
    <mergeCell ref="CG306:CI308"/>
    <mergeCell ref="BE304:BE305"/>
    <mergeCell ref="BF304:BF305"/>
    <mergeCell ref="BE306:BG308"/>
    <mergeCell ref="BI306:BK308"/>
    <mergeCell ref="BM306:BO308"/>
    <mergeCell ref="BQ306:BS308"/>
    <mergeCell ref="BU306:BW308"/>
    <mergeCell ref="E309:F309"/>
    <mergeCell ref="I309:J309"/>
    <mergeCell ref="M309:N309"/>
    <mergeCell ref="Q309:R309"/>
    <mergeCell ref="U309:V309"/>
    <mergeCell ref="Y309:Z309"/>
    <mergeCell ref="AC309:AD309"/>
    <mergeCell ref="BY309:BZ309"/>
    <mergeCell ref="CC309:CD309"/>
    <mergeCell ref="CG309:CH309"/>
    <mergeCell ref="AG309:AH309"/>
    <mergeCell ref="AK309:AL309"/>
    <mergeCell ref="BE309:BF309"/>
    <mergeCell ref="BI309:BJ309"/>
    <mergeCell ref="BM309:BN309"/>
    <mergeCell ref="BQ309:BR309"/>
    <mergeCell ref="BU309:BV309"/>
    <mergeCell ref="A310:D310"/>
    <mergeCell ref="E310:G310"/>
    <mergeCell ref="I310:K310"/>
    <mergeCell ref="M310:O310"/>
    <mergeCell ref="Q310:S310"/>
    <mergeCell ref="U310:W310"/>
    <mergeCell ref="Y310:AA310"/>
    <mergeCell ref="BE310:BG310"/>
    <mergeCell ref="BI310:BK310"/>
    <mergeCell ref="BM310:BO310"/>
    <mergeCell ref="BQ310:BS310"/>
    <mergeCell ref="BU310:BW310"/>
    <mergeCell ref="BY310:CA310"/>
    <mergeCell ref="CC310:CE310"/>
    <mergeCell ref="CG310:CI310"/>
    <mergeCell ref="AC310:AE310"/>
    <mergeCell ref="AG310:AI310"/>
    <mergeCell ref="AK310:AM310"/>
    <mergeCell ref="AO310:AQ310"/>
    <mergeCell ref="AS310:AU310"/>
    <mergeCell ref="AW310:AY310"/>
    <mergeCell ref="BA310:BC310"/>
    <mergeCell ref="AG299:AI301"/>
    <mergeCell ref="AK299:AM301"/>
    <mergeCell ref="E299:G301"/>
    <mergeCell ref="I299:K301"/>
    <mergeCell ref="M299:O301"/>
    <mergeCell ref="Q299:S301"/>
    <mergeCell ref="U299:W301"/>
    <mergeCell ref="Y299:AA301"/>
    <mergeCell ref="AC299:AE301"/>
    <mergeCell ref="J304:J305"/>
    <mergeCell ref="K304:K305"/>
    <mergeCell ref="M304:M305"/>
    <mergeCell ref="N304:N305"/>
    <mergeCell ref="O304:O305"/>
    <mergeCell ref="Q304:Q305"/>
    <mergeCell ref="R304:R305"/>
    <mergeCell ref="S304:S305"/>
    <mergeCell ref="U304:U305"/>
    <mergeCell ref="V304:V305"/>
    <mergeCell ref="W304:W305"/>
    <mergeCell ref="Y304:Y305"/>
    <mergeCell ref="Z304:Z305"/>
    <mergeCell ref="AA304:AA305"/>
    <mergeCell ref="AO306:AQ308"/>
    <mergeCell ref="AS306:AU308"/>
    <mergeCell ref="AW306:AY308"/>
    <mergeCell ref="BA306:BC308"/>
    <mergeCell ref="AO309:AP309"/>
    <mergeCell ref="AS309:AT309"/>
    <mergeCell ref="AW309:AX309"/>
    <mergeCell ref="BA309:BB309"/>
    <mergeCell ref="AC304:AC305"/>
    <mergeCell ref="AD304:AD305"/>
    <mergeCell ref="AE304:AE305"/>
    <mergeCell ref="AG304:AG305"/>
    <mergeCell ref="AH304:AH305"/>
    <mergeCell ref="AI304:AI305"/>
    <mergeCell ref="AK304:AK305"/>
    <mergeCell ref="A304:A309"/>
    <mergeCell ref="B304:C307"/>
    <mergeCell ref="D304:D307"/>
    <mergeCell ref="E304:E305"/>
    <mergeCell ref="F304:F305"/>
    <mergeCell ref="G304:G305"/>
    <mergeCell ref="I304:I305"/>
    <mergeCell ref="BN311:BN312"/>
    <mergeCell ref="BO311:BO312"/>
    <mergeCell ref="BQ311:BQ312"/>
    <mergeCell ref="BR311:BR312"/>
    <mergeCell ref="BS311:BS312"/>
    <mergeCell ref="BU311:BU312"/>
    <mergeCell ref="BV311:BV312"/>
    <mergeCell ref="CG311:CG312"/>
    <mergeCell ref="CH311:CH312"/>
    <mergeCell ref="CI311:CI312"/>
    <mergeCell ref="BW311:BW312"/>
    <mergeCell ref="BY311:BY312"/>
    <mergeCell ref="BZ311:BZ312"/>
    <mergeCell ref="CA311:CA312"/>
    <mergeCell ref="CC311:CC312"/>
    <mergeCell ref="CD311:CD312"/>
    <mergeCell ref="CE311:CE312"/>
    <mergeCell ref="BQ313:BS315"/>
    <mergeCell ref="BU313:BW315"/>
    <mergeCell ref="BY313:CA315"/>
    <mergeCell ref="CC313:CE315"/>
    <mergeCell ref="CG313:CI315"/>
    <mergeCell ref="AO313:AQ315"/>
    <mergeCell ref="AS313:AU315"/>
    <mergeCell ref="AW313:AY315"/>
    <mergeCell ref="BA313:BC315"/>
    <mergeCell ref="BE313:BG315"/>
    <mergeCell ref="BI313:BK315"/>
    <mergeCell ref="BM313:BO315"/>
    <mergeCell ref="AC325:AC326"/>
    <mergeCell ref="AD325:AE326"/>
    <mergeCell ref="BI325:BI326"/>
    <mergeCell ref="I327:I328"/>
    <mergeCell ref="J327:J328"/>
    <mergeCell ref="K327:K328"/>
    <mergeCell ref="M327:M328"/>
    <mergeCell ref="N327:N328"/>
    <mergeCell ref="O327:O328"/>
    <mergeCell ref="Q327:Q328"/>
    <mergeCell ref="R327:R328"/>
    <mergeCell ref="AG327:AG328"/>
    <mergeCell ref="AH327:AH328"/>
    <mergeCell ref="BE327:BE328"/>
    <mergeCell ref="BF327:BF328"/>
    <mergeCell ref="BG327:BG328"/>
    <mergeCell ref="BI327:BI328"/>
    <mergeCell ref="BJ327:BJ328"/>
    <mergeCell ref="BK327:BK328"/>
    <mergeCell ref="BM327:BM328"/>
    <mergeCell ref="BN327:BN328"/>
    <mergeCell ref="BO327:BO328"/>
    <mergeCell ref="BQ327:BQ328"/>
    <mergeCell ref="BR327:BR328"/>
    <mergeCell ref="BS327:BS328"/>
    <mergeCell ref="BU327:BU328"/>
    <mergeCell ref="BV327:BV328"/>
    <mergeCell ref="BW327:BW328"/>
    <mergeCell ref="BY327:BY328"/>
    <mergeCell ref="BZ327:BZ328"/>
    <mergeCell ref="CD327:CD328"/>
    <mergeCell ref="CE327:CE328"/>
    <mergeCell ref="U329:U330"/>
    <mergeCell ref="V329:V330"/>
    <mergeCell ref="U325:U326"/>
    <mergeCell ref="V325:W326"/>
    <mergeCell ref="U327:U328"/>
    <mergeCell ref="V327:V328"/>
    <mergeCell ref="W327:W328"/>
    <mergeCell ref="Z327:Z328"/>
    <mergeCell ref="AA327:AA328"/>
    <mergeCell ref="AD246:AD247"/>
    <mergeCell ref="AE246:AE247"/>
    <mergeCell ref="AC250:AE252"/>
    <mergeCell ref="AC253:AD253"/>
    <mergeCell ref="AA246:AA247"/>
    <mergeCell ref="AC246:AC247"/>
    <mergeCell ref="AA248:AA249"/>
    <mergeCell ref="AA255:AA256"/>
    <mergeCell ref="AA262:AA263"/>
    <mergeCell ref="AA269:AA270"/>
    <mergeCell ref="AC269:AC270"/>
    <mergeCell ref="M325:M326"/>
    <mergeCell ref="N325:O326"/>
    <mergeCell ref="J329:J330"/>
    <mergeCell ref="K329:K330"/>
    <mergeCell ref="M329:M330"/>
    <mergeCell ref="N329:N330"/>
    <mergeCell ref="O329:O330"/>
    <mergeCell ref="Q329:Q330"/>
    <mergeCell ref="J325:K326"/>
    <mergeCell ref="Q325:Q326"/>
    <mergeCell ref="R325:S326"/>
    <mergeCell ref="T325:T404"/>
    <mergeCell ref="S327:S328"/>
    <mergeCell ref="R329:R330"/>
    <mergeCell ref="S329:S330"/>
    <mergeCell ref="X325:X404"/>
    <mergeCell ref="Y325:Y326"/>
    <mergeCell ref="Y327:Y328"/>
    <mergeCell ref="AC327:AC328"/>
    <mergeCell ref="AD327:AD328"/>
    <mergeCell ref="AE327:AE328"/>
    <mergeCell ref="CA327:CA328"/>
    <mergeCell ref="CC327:CC328"/>
    <mergeCell ref="BI329:BI330"/>
    <mergeCell ref="BJ329:BJ330"/>
    <mergeCell ref="BK329:BK330"/>
    <mergeCell ref="BM329:BM330"/>
    <mergeCell ref="BN329:BN330"/>
    <mergeCell ref="BO329:BO330"/>
    <mergeCell ref="BQ329:BQ330"/>
    <mergeCell ref="BR329:BR330"/>
    <mergeCell ref="BV329:BV330"/>
    <mergeCell ref="BW329:BW330"/>
    <mergeCell ref="BY329:BY330"/>
    <mergeCell ref="BZ329:BZ330"/>
    <mergeCell ref="BS329:BS330"/>
    <mergeCell ref="BU329:BU330"/>
    <mergeCell ref="CA329:CA330"/>
    <mergeCell ref="CC329:CC330"/>
    <mergeCell ref="CD329:CD330"/>
    <mergeCell ref="CE329:CE330"/>
    <mergeCell ref="BI331:BK333"/>
    <mergeCell ref="BM331:BO333"/>
    <mergeCell ref="BQ331:BS333"/>
    <mergeCell ref="BU331:BW333"/>
    <mergeCell ref="BI334:BJ334"/>
    <mergeCell ref="BM334:BN334"/>
    <mergeCell ref="BQ334:BR334"/>
    <mergeCell ref="BU334:BV334"/>
    <mergeCell ref="AI327:AI328"/>
    <mergeCell ref="AK327:AK328"/>
    <mergeCell ref="AL327:AL328"/>
    <mergeCell ref="AM327:AM328"/>
    <mergeCell ref="AO327:AO328"/>
    <mergeCell ref="AP327:AP328"/>
    <mergeCell ref="AQ327:AQ328"/>
    <mergeCell ref="AS327:AS328"/>
    <mergeCell ref="AT327:AT328"/>
    <mergeCell ref="AU327:AU328"/>
    <mergeCell ref="AW327:AW328"/>
    <mergeCell ref="AX327:AX328"/>
    <mergeCell ref="BB327:BB328"/>
    <mergeCell ref="BC327:BC328"/>
    <mergeCell ref="BE329:BE330"/>
    <mergeCell ref="BF329:BF330"/>
    <mergeCell ref="BG329:BG330"/>
    <mergeCell ref="BE331:BG333"/>
    <mergeCell ref="BE334:BF334"/>
    <mergeCell ref="I329:I330"/>
    <mergeCell ref="W329:W330"/>
    <mergeCell ref="Y329:Y330"/>
    <mergeCell ref="AC329:AC330"/>
    <mergeCell ref="AD329:AD330"/>
    <mergeCell ref="AE329:AE330"/>
    <mergeCell ref="I331:K333"/>
    <mergeCell ref="M331:O333"/>
    <mergeCell ref="Q331:S333"/>
    <mergeCell ref="U331:W333"/>
    <mergeCell ref="Y331:AA333"/>
    <mergeCell ref="AC331:AE333"/>
    <mergeCell ref="I334:J334"/>
    <mergeCell ref="M334:N334"/>
    <mergeCell ref="Q334:R334"/>
    <mergeCell ref="U334:V334"/>
    <mergeCell ref="Y334:Z334"/>
    <mergeCell ref="AC334:AD334"/>
    <mergeCell ref="I335:K335"/>
    <mergeCell ref="M335:O335"/>
    <mergeCell ref="Q335:S335"/>
    <mergeCell ref="U335:W335"/>
    <mergeCell ref="Y335:AA335"/>
    <mergeCell ref="AC335:AE335"/>
    <mergeCell ref="I336:I337"/>
    <mergeCell ref="J336:J337"/>
    <mergeCell ref="K336:K337"/>
    <mergeCell ref="M336:M337"/>
    <mergeCell ref="N336:N337"/>
    <mergeCell ref="O336:O337"/>
    <mergeCell ref="Q336:Q337"/>
    <mergeCell ref="R336:R337"/>
    <mergeCell ref="S336:S337"/>
    <mergeCell ref="U336:U337"/>
    <mergeCell ref="V336:V337"/>
    <mergeCell ref="W336:W337"/>
    <mergeCell ref="Y336:Y337"/>
    <mergeCell ref="AC336:AC337"/>
    <mergeCell ref="AD336:AD337"/>
    <mergeCell ref="AE336:AE337"/>
    <mergeCell ref="I338:K340"/>
    <mergeCell ref="M338:O340"/>
    <mergeCell ref="Q338:S340"/>
    <mergeCell ref="U338:W340"/>
    <mergeCell ref="Y338:AA340"/>
    <mergeCell ref="AC338:AE340"/>
    <mergeCell ref="I341:J341"/>
    <mergeCell ref="M341:N341"/>
    <mergeCell ref="Q341:R341"/>
    <mergeCell ref="U341:V341"/>
    <mergeCell ref="Y341:Z341"/>
    <mergeCell ref="AC341:AD341"/>
    <mergeCell ref="I342:K342"/>
    <mergeCell ref="M342:O342"/>
    <mergeCell ref="Q342:S342"/>
    <mergeCell ref="U342:W342"/>
    <mergeCell ref="Y342:AA342"/>
    <mergeCell ref="AC342:AE342"/>
    <mergeCell ref="I343:I344"/>
    <mergeCell ref="J343:J344"/>
    <mergeCell ref="K343:K344"/>
    <mergeCell ref="M343:M344"/>
    <mergeCell ref="N343:N344"/>
    <mergeCell ref="O343:O344"/>
    <mergeCell ref="Q343:Q344"/>
    <mergeCell ref="R343:R344"/>
    <mergeCell ref="S343:S344"/>
    <mergeCell ref="U343:U344"/>
    <mergeCell ref="V343:V344"/>
    <mergeCell ref="W343:W344"/>
    <mergeCell ref="Y343:Y344"/>
    <mergeCell ref="AC343:AC344"/>
    <mergeCell ref="AD343:AD344"/>
    <mergeCell ref="AE343:AE344"/>
    <mergeCell ref="I345:K347"/>
    <mergeCell ref="M345:O347"/>
    <mergeCell ref="Q345:S347"/>
    <mergeCell ref="U345:W347"/>
    <mergeCell ref="Y345:AA347"/>
    <mergeCell ref="AC345:AE347"/>
    <mergeCell ref="I348:J348"/>
    <mergeCell ref="M348:N348"/>
    <mergeCell ref="Q348:R348"/>
    <mergeCell ref="U348:V348"/>
    <mergeCell ref="Y348:Z348"/>
    <mergeCell ref="AC348:AD348"/>
    <mergeCell ref="I349:K349"/>
    <mergeCell ref="M349:O349"/>
    <mergeCell ref="Q349:S349"/>
    <mergeCell ref="U349:W349"/>
    <mergeCell ref="Y349:AA349"/>
    <mergeCell ref="AC349:AE349"/>
    <mergeCell ref="I350:I351"/>
    <mergeCell ref="J350:J351"/>
    <mergeCell ref="K350:K351"/>
    <mergeCell ref="M350:M351"/>
    <mergeCell ref="N350:N351"/>
    <mergeCell ref="O350:O351"/>
    <mergeCell ref="I156:I157"/>
    <mergeCell ref="I209:I210"/>
    <mergeCell ref="O209:O210"/>
    <mergeCell ref="Q209:Q210"/>
    <mergeCell ref="R209:R210"/>
    <mergeCell ref="S209:S210"/>
    <mergeCell ref="U209:U210"/>
    <mergeCell ref="V209:V210"/>
    <mergeCell ref="U211:W213"/>
    <mergeCell ref="U214:V214"/>
    <mergeCell ref="U215:W215"/>
    <mergeCell ref="I211:K213"/>
    <mergeCell ref="M211:O213"/>
    <mergeCell ref="Q211:S213"/>
    <mergeCell ref="I214:J214"/>
    <mergeCell ref="M214:N214"/>
    <mergeCell ref="Q214:R214"/>
    <mergeCell ref="I215:K215"/>
    <mergeCell ref="M215:O215"/>
    <mergeCell ref="Q216:Q217"/>
    <mergeCell ref="R216:R217"/>
    <mergeCell ref="U216:U217"/>
    <mergeCell ref="V216:V217"/>
    <mergeCell ref="U218:W220"/>
    <mergeCell ref="U221:V221"/>
    <mergeCell ref="U222:W222"/>
    <mergeCell ref="S223:S224"/>
    <mergeCell ref="I225:K227"/>
    <mergeCell ref="M225:O227"/>
    <mergeCell ref="Q225:S227"/>
    <mergeCell ref="Q228:R228"/>
    <mergeCell ref="I229:K229"/>
    <mergeCell ref="M229:O229"/>
    <mergeCell ref="Q229:S229"/>
    <mergeCell ref="I230:I231"/>
    <mergeCell ref="J230:J231"/>
    <mergeCell ref="K230:K231"/>
    <mergeCell ref="M230:M231"/>
    <mergeCell ref="N230:N231"/>
    <mergeCell ref="O230:O231"/>
    <mergeCell ref="S230:S231"/>
    <mergeCell ref="I232:K234"/>
    <mergeCell ref="M232:O234"/>
    <mergeCell ref="Q232:S234"/>
    <mergeCell ref="V244:W245"/>
    <mergeCell ref="J156:J157"/>
    <mergeCell ref="H163:H242"/>
    <mergeCell ref="L163:L242"/>
    <mergeCell ref="P163:P242"/>
    <mergeCell ref="T163:T242"/>
    <mergeCell ref="Q180:S180"/>
    <mergeCell ref="S188:S189"/>
    <mergeCell ref="Q235:R235"/>
    <mergeCell ref="N246:N247"/>
    <mergeCell ref="O246:O247"/>
    <mergeCell ref="Q246:Q247"/>
    <mergeCell ref="R246:R247"/>
    <mergeCell ref="BI246:BI247"/>
    <mergeCell ref="BJ246:BJ247"/>
    <mergeCell ref="BK246:BK247"/>
    <mergeCell ref="BM246:BM247"/>
    <mergeCell ref="BN246:BN247"/>
    <mergeCell ref="BO246:BO247"/>
    <mergeCell ref="BQ246:BQ247"/>
    <mergeCell ref="BR246:BR247"/>
    <mergeCell ref="BS246:BS247"/>
    <mergeCell ref="BU246:BU247"/>
    <mergeCell ref="BV246:BV247"/>
    <mergeCell ref="BW246:BW247"/>
    <mergeCell ref="BY246:BY247"/>
    <mergeCell ref="BZ246:BZ247"/>
    <mergeCell ref="AM248:AM249"/>
    <mergeCell ref="AO248:AO249"/>
    <mergeCell ref="AS267:AT267"/>
    <mergeCell ref="AW267:AX267"/>
    <mergeCell ref="BA267:BB267"/>
    <mergeCell ref="BE267:BF267"/>
    <mergeCell ref="AG268:AI268"/>
    <mergeCell ref="AK268:AM268"/>
    <mergeCell ref="AO268:AQ268"/>
    <mergeCell ref="AS268:AU268"/>
    <mergeCell ref="BA268:BC268"/>
    <mergeCell ref="BE268:BG268"/>
    <mergeCell ref="AF244:AF323"/>
    <mergeCell ref="AJ244:AJ323"/>
    <mergeCell ref="AN244:AN323"/>
    <mergeCell ref="AR244:AR323"/>
    <mergeCell ref="AV244:AV323"/>
    <mergeCell ref="AZ244:AZ323"/>
    <mergeCell ref="AY246:AY247"/>
    <mergeCell ref="BV325:BW326"/>
    <mergeCell ref="BY325:BY326"/>
    <mergeCell ref="BZ325:CA326"/>
    <mergeCell ref="CC325:CC326"/>
    <mergeCell ref="CD325:CE326"/>
    <mergeCell ref="AW268:AY268"/>
    <mergeCell ref="BJ325:BK326"/>
    <mergeCell ref="BM325:BM326"/>
    <mergeCell ref="BN325:BO326"/>
    <mergeCell ref="BQ325:BQ326"/>
    <mergeCell ref="BR325:BS326"/>
    <mergeCell ref="BU325:BU326"/>
    <mergeCell ref="BV248:BV249"/>
    <mergeCell ref="BW248:BW249"/>
    <mergeCell ref="BU271:BW273"/>
    <mergeCell ref="BY271:CA273"/>
    <mergeCell ref="BU274:BV274"/>
    <mergeCell ref="BY274:BZ274"/>
    <mergeCell ref="BY275:CA275"/>
    <mergeCell ref="BU275:BW275"/>
    <mergeCell ref="BU276:BU277"/>
    <mergeCell ref="BV276:BV277"/>
    <mergeCell ref="BW276:BW277"/>
    <mergeCell ref="BY276:BY277"/>
    <mergeCell ref="BZ276:BZ277"/>
    <mergeCell ref="CA276:CA277"/>
    <mergeCell ref="CA246:CA247"/>
    <mergeCell ref="CC246:CC247"/>
    <mergeCell ref="CD246:CD247"/>
    <mergeCell ref="CE246:CE247"/>
    <mergeCell ref="CD269:CD270"/>
    <mergeCell ref="CE269:CE270"/>
    <mergeCell ref="CC271:CE273"/>
    <mergeCell ref="CC274:CD274"/>
    <mergeCell ref="CC275:CE275"/>
    <mergeCell ref="BI248:BI249"/>
    <mergeCell ref="BJ248:BJ249"/>
    <mergeCell ref="BI271:BK273"/>
    <mergeCell ref="BI274:BJ274"/>
    <mergeCell ref="BI275:BK275"/>
    <mergeCell ref="BI276:BI277"/>
    <mergeCell ref="BJ276:BJ277"/>
    <mergeCell ref="BK276:BK277"/>
    <mergeCell ref="BK248:BK249"/>
    <mergeCell ref="BM248:BM249"/>
    <mergeCell ref="BN248:BN249"/>
    <mergeCell ref="BO248:BO249"/>
    <mergeCell ref="BM271:BO273"/>
    <mergeCell ref="BM274:BN274"/>
    <mergeCell ref="BM275:BO275"/>
    <mergeCell ref="BM276:BM277"/>
    <mergeCell ref="BN276:BN277"/>
    <mergeCell ref="BO276:BO277"/>
    <mergeCell ref="BQ248:BQ249"/>
    <mergeCell ref="BR248:BR249"/>
    <mergeCell ref="BQ271:BS273"/>
    <mergeCell ref="BQ274:BR274"/>
    <mergeCell ref="BQ275:BS275"/>
    <mergeCell ref="BQ276:BQ277"/>
    <mergeCell ref="BR276:BR277"/>
    <mergeCell ref="BS276:BS277"/>
    <mergeCell ref="CC276:CC277"/>
    <mergeCell ref="CD276:CD277"/>
    <mergeCell ref="CE276:CE277"/>
    <mergeCell ref="Z276:Z277"/>
    <mergeCell ref="Y278:AA280"/>
    <mergeCell ref="Y268:AA268"/>
    <mergeCell ref="Y269:Y270"/>
    <mergeCell ref="Z269:Z270"/>
    <mergeCell ref="Y271:AA273"/>
    <mergeCell ref="Y274:Z274"/>
    <mergeCell ref="Y275:AA275"/>
    <mergeCell ref="Y276:Y277"/>
    <mergeCell ref="AH262:AH263"/>
    <mergeCell ref="AI262:AI263"/>
    <mergeCell ref="AC264:AE266"/>
    <mergeCell ref="AG264:AI266"/>
    <mergeCell ref="AK264:AM266"/>
    <mergeCell ref="AC267:AD267"/>
    <mergeCell ref="AK267:AL267"/>
    <mergeCell ref="AG267:AH267"/>
    <mergeCell ref="AG269:AG270"/>
    <mergeCell ref="AH269:AH270"/>
    <mergeCell ref="AI269:AI270"/>
    <mergeCell ref="AK269:AK270"/>
    <mergeCell ref="AL269:AL270"/>
    <mergeCell ref="AM269:AM270"/>
    <mergeCell ref="AX269:AX270"/>
    <mergeCell ref="AY269:AY270"/>
    <mergeCell ref="BA269:BA270"/>
    <mergeCell ref="BB269:BB270"/>
    <mergeCell ref="BC269:BC270"/>
    <mergeCell ref="BF269:BF270"/>
    <mergeCell ref="BG269:BG270"/>
    <mergeCell ref="AD269:AD270"/>
    <mergeCell ref="AE269:AE270"/>
    <mergeCell ref="AQ269:AQ270"/>
    <mergeCell ref="AS269:AS270"/>
    <mergeCell ref="AT269:AT270"/>
    <mergeCell ref="AU269:AU270"/>
    <mergeCell ref="AW269:AW270"/>
    <mergeCell ref="AO271:AQ273"/>
    <mergeCell ref="AO274:AP274"/>
    <mergeCell ref="AO269:AO270"/>
    <mergeCell ref="AP269:AP270"/>
    <mergeCell ref="AC271:AE273"/>
    <mergeCell ref="AS271:AU273"/>
    <mergeCell ref="AC274:AD274"/>
    <mergeCell ref="AG274:AH274"/>
    <mergeCell ref="AK274:AL274"/>
    <mergeCell ref="AG271:AI273"/>
    <mergeCell ref="AK271:AM273"/>
    <mergeCell ref="AW271:AY273"/>
    <mergeCell ref="BA271:BC273"/>
    <mergeCell ref="BE271:BG273"/>
    <mergeCell ref="BA274:BB274"/>
    <mergeCell ref="BE274:BF274"/>
    <mergeCell ref="AG275:AI275"/>
    <mergeCell ref="AK275:AM275"/>
    <mergeCell ref="AO275:AQ275"/>
    <mergeCell ref="AS275:AU275"/>
    <mergeCell ref="AW275:AY275"/>
    <mergeCell ref="BA275:BC275"/>
    <mergeCell ref="BE275:BG275"/>
    <mergeCell ref="AQ276:AQ277"/>
    <mergeCell ref="AS276:AS277"/>
    <mergeCell ref="AS274:AT274"/>
    <mergeCell ref="AW274:AX274"/>
    <mergeCell ref="AC275:AE275"/>
    <mergeCell ref="AI276:AI277"/>
    <mergeCell ref="AK276:AK277"/>
    <mergeCell ref="AL276:AL277"/>
    <mergeCell ref="AM276:AM277"/>
    <mergeCell ref="AT246:AT247"/>
    <mergeCell ref="AU246:AU247"/>
    <mergeCell ref="AW246:AW247"/>
    <mergeCell ref="AX246:AX247"/>
    <mergeCell ref="AW253:AX253"/>
    <mergeCell ref="AW255:AW256"/>
    <mergeCell ref="AX255:AX256"/>
    <mergeCell ref="AW260:AX260"/>
    <mergeCell ref="AB244:AB323"/>
    <mergeCell ref="AC248:AC249"/>
    <mergeCell ref="AC255:AC256"/>
    <mergeCell ref="AC262:AC263"/>
    <mergeCell ref="AG325:AG326"/>
    <mergeCell ref="AH325:AI326"/>
    <mergeCell ref="AK325:AK326"/>
    <mergeCell ref="AL325:AM326"/>
    <mergeCell ref="AQ246:AQ247"/>
    <mergeCell ref="AS246:AS247"/>
    <mergeCell ref="AD248:AD249"/>
    <mergeCell ref="AE248:AE249"/>
    <mergeCell ref="AG248:AG249"/>
    <mergeCell ref="AH248:AH249"/>
    <mergeCell ref="AI248:AI249"/>
    <mergeCell ref="AS261:AU261"/>
    <mergeCell ref="AS264:AU266"/>
    <mergeCell ref="AS248:AS249"/>
    <mergeCell ref="AT248:AT249"/>
    <mergeCell ref="AS253:AT253"/>
    <mergeCell ref="AS254:AU254"/>
    <mergeCell ref="AU255:AU256"/>
    <mergeCell ref="AS257:AU259"/>
    <mergeCell ref="AS260:AT260"/>
    <mergeCell ref="AO276:AO277"/>
    <mergeCell ref="AP276:AP277"/>
    <mergeCell ref="AO325:AO326"/>
    <mergeCell ref="AP325:AQ326"/>
    <mergeCell ref="AS325:AS326"/>
    <mergeCell ref="AT325:AU326"/>
    <mergeCell ref="AW325:AW326"/>
    <mergeCell ref="BB325:BC326"/>
    <mergeCell ref="BE325:BE326"/>
    <mergeCell ref="BA276:BA277"/>
    <mergeCell ref="BB276:BB277"/>
    <mergeCell ref="BC276:BC277"/>
    <mergeCell ref="BF276:BF277"/>
    <mergeCell ref="BG276:BG277"/>
    <mergeCell ref="AX325:AY326"/>
    <mergeCell ref="BA325:BA326"/>
    <mergeCell ref="BF325:BG326"/>
    <mergeCell ref="AO246:AO247"/>
    <mergeCell ref="AP246:AP247"/>
    <mergeCell ref="BA246:BA247"/>
    <mergeCell ref="BB246:BB247"/>
    <mergeCell ref="BC246:BC247"/>
    <mergeCell ref="BF246:BF247"/>
    <mergeCell ref="BG246:BG247"/>
    <mergeCell ref="BD244:BD323"/>
    <mergeCell ref="BE246:BE247"/>
    <mergeCell ref="BE248:BE249"/>
    <mergeCell ref="BE255:BE256"/>
    <mergeCell ref="BE262:BE263"/>
    <mergeCell ref="BE269:BE270"/>
    <mergeCell ref="BE276:BE277"/>
    <mergeCell ref="BB248:BB249"/>
    <mergeCell ref="BC248:BC249"/>
    <mergeCell ref="BF248:BF249"/>
    <mergeCell ref="BG248:BG249"/>
    <mergeCell ref="BA250:BC252"/>
    <mergeCell ref="BE250:BG252"/>
    <mergeCell ref="BE253:BF253"/>
    <mergeCell ref="BE254:BG254"/>
    <mergeCell ref="AI246:AI247"/>
    <mergeCell ref="AK246:AK247"/>
    <mergeCell ref="AK262:AK263"/>
    <mergeCell ref="AL262:AL263"/>
    <mergeCell ref="AM262:AM263"/>
    <mergeCell ref="AO262:AO263"/>
    <mergeCell ref="AP262:AP263"/>
    <mergeCell ref="BA261:BC261"/>
    <mergeCell ref="BC262:BC263"/>
    <mergeCell ref="BF262:BF263"/>
    <mergeCell ref="BG262:BG263"/>
    <mergeCell ref="AW264:AY266"/>
    <mergeCell ref="BA264:BC266"/>
    <mergeCell ref="BE264:BG266"/>
    <mergeCell ref="BF255:BF256"/>
    <mergeCell ref="BG255:BG256"/>
    <mergeCell ref="BE257:BG259"/>
    <mergeCell ref="BA260:BB260"/>
    <mergeCell ref="BE260:BF260"/>
    <mergeCell ref="AW261:AY261"/>
    <mergeCell ref="BE261:BG261"/>
    <mergeCell ref="AG276:AG277"/>
    <mergeCell ref="AH276:AH277"/>
    <mergeCell ref="AT276:AT277"/>
    <mergeCell ref="AU276:AU277"/>
    <mergeCell ref="AW276:AW277"/>
    <mergeCell ref="AX276:AX277"/>
    <mergeCell ref="AY276:AY277"/>
    <mergeCell ref="BY334:BZ334"/>
    <mergeCell ref="CC334:CD334"/>
    <mergeCell ref="BI335:BK335"/>
    <mergeCell ref="BM335:BO335"/>
    <mergeCell ref="BQ335:BS335"/>
    <mergeCell ref="BU335:BW335"/>
    <mergeCell ref="BY335:CA335"/>
    <mergeCell ref="CC335:CE335"/>
    <mergeCell ref="BI336:BI337"/>
    <mergeCell ref="BJ336:BJ337"/>
    <mergeCell ref="BK336:BK337"/>
    <mergeCell ref="BM336:BM337"/>
    <mergeCell ref="BN336:BN337"/>
    <mergeCell ref="BO336:BO337"/>
    <mergeCell ref="BY331:CA333"/>
    <mergeCell ref="CC331:CE333"/>
    <mergeCell ref="BQ336:BQ337"/>
    <mergeCell ref="BR336:BR337"/>
    <mergeCell ref="BS336:BS337"/>
    <mergeCell ref="BU336:BU337"/>
    <mergeCell ref="BV336:BV337"/>
    <mergeCell ref="BW336:BW337"/>
    <mergeCell ref="BY336:BY337"/>
    <mergeCell ref="BZ336:BZ337"/>
    <mergeCell ref="CA336:CA337"/>
    <mergeCell ref="CC336:CC337"/>
    <mergeCell ref="CD336:CD337"/>
    <mergeCell ref="CE336:CE337"/>
    <mergeCell ref="BI338:BK340"/>
    <mergeCell ref="BM338:BO340"/>
    <mergeCell ref="BQ338:BS340"/>
    <mergeCell ref="BU338:BW340"/>
    <mergeCell ref="BI341:BJ341"/>
    <mergeCell ref="BM341:BN341"/>
    <mergeCell ref="BQ341:BR341"/>
    <mergeCell ref="BU341:BV341"/>
    <mergeCell ref="BY341:BZ341"/>
    <mergeCell ref="CC341:CD341"/>
    <mergeCell ref="BI342:BK342"/>
    <mergeCell ref="BM342:BO342"/>
    <mergeCell ref="BQ342:BS342"/>
    <mergeCell ref="BU342:BW342"/>
    <mergeCell ref="BY342:CA342"/>
    <mergeCell ref="CC342:CE342"/>
    <mergeCell ref="BI343:BI344"/>
    <mergeCell ref="BJ343:BJ344"/>
    <mergeCell ref="BK343:BK344"/>
    <mergeCell ref="BM343:BM344"/>
    <mergeCell ref="BN343:BN344"/>
    <mergeCell ref="BO343:BO344"/>
    <mergeCell ref="BQ343:BQ344"/>
    <mergeCell ref="BR343:BR344"/>
    <mergeCell ref="BS343:BS344"/>
    <mergeCell ref="BU343:BU344"/>
    <mergeCell ref="BV343:BV344"/>
    <mergeCell ref="BW343:BW344"/>
    <mergeCell ref="BY338:CA340"/>
    <mergeCell ref="CC338:CE340"/>
    <mergeCell ref="BY343:BY344"/>
    <mergeCell ref="BZ343:BZ344"/>
    <mergeCell ref="CA343:CA344"/>
    <mergeCell ref="CC343:CC344"/>
    <mergeCell ref="CD343:CD344"/>
    <mergeCell ref="CE343:CE344"/>
    <mergeCell ref="BI345:BK347"/>
    <mergeCell ref="BM345:BO347"/>
    <mergeCell ref="BQ345:BS347"/>
    <mergeCell ref="BU345:BW347"/>
    <mergeCell ref="BI348:BJ348"/>
    <mergeCell ref="BM348:BN348"/>
    <mergeCell ref="BQ348:BR348"/>
    <mergeCell ref="BU348:BV348"/>
    <mergeCell ref="BY348:BZ348"/>
    <mergeCell ref="CC348:CD348"/>
    <mergeCell ref="BI349:BK349"/>
    <mergeCell ref="BM349:BO349"/>
    <mergeCell ref="BQ349:BS349"/>
    <mergeCell ref="BU349:BW349"/>
    <mergeCell ref="BY349:CA349"/>
    <mergeCell ref="CC349:CE349"/>
    <mergeCell ref="BI350:BI351"/>
    <mergeCell ref="BJ350:BJ351"/>
    <mergeCell ref="BK350:BK351"/>
    <mergeCell ref="BM350:BM351"/>
    <mergeCell ref="BY345:CA347"/>
    <mergeCell ref="CC345:CE347"/>
    <mergeCell ref="BH325:BH404"/>
    <mergeCell ref="BL325:BL404"/>
    <mergeCell ref="BP325:BP404"/>
    <mergeCell ref="BT325:BT404"/>
    <mergeCell ref="BX325:BX404"/>
    <mergeCell ref="CB325:CB404"/>
    <mergeCell ref="CF325:CF404"/>
    <mergeCell ref="BN350:BN351"/>
    <mergeCell ref="BO350:BO351"/>
    <mergeCell ref="BQ350:BQ351"/>
    <mergeCell ref="BR350:BR351"/>
    <mergeCell ref="BS350:BS351"/>
    <mergeCell ref="BU350:BU351"/>
    <mergeCell ref="BV350:BV351"/>
    <mergeCell ref="BW350:BW351"/>
    <mergeCell ref="BY350:BY351"/>
    <mergeCell ref="BZ350:BZ351"/>
    <mergeCell ref="CA350:CA351"/>
    <mergeCell ref="CC350:CC351"/>
    <mergeCell ref="CD350:CD351"/>
    <mergeCell ref="CE350:CE351"/>
    <mergeCell ref="AW345:AY347"/>
    <mergeCell ref="BA345:BC347"/>
    <mergeCell ref="AF325:AF404"/>
    <mergeCell ref="AJ325:AJ404"/>
    <mergeCell ref="AN325:AN404"/>
    <mergeCell ref="AR325:AR404"/>
    <mergeCell ref="AV325:AV404"/>
    <mergeCell ref="AZ325:AZ404"/>
    <mergeCell ref="BD325:BD404"/>
    <mergeCell ref="AO348:AP348"/>
    <mergeCell ref="AS348:AT348"/>
    <mergeCell ref="AW348:AX348"/>
    <mergeCell ref="BA348:BB348"/>
    <mergeCell ref="AG349:AI349"/>
    <mergeCell ref="AK349:AM349"/>
    <mergeCell ref="AO349:AQ349"/>
    <mergeCell ref="AS349:AU349"/>
    <mergeCell ref="AW349:AY349"/>
    <mergeCell ref="BA349:BC349"/>
    <mergeCell ref="AG350:AG351"/>
    <mergeCell ref="AH350:AH351"/>
    <mergeCell ref="AI350:AI351"/>
    <mergeCell ref="AK350:AK351"/>
    <mergeCell ref="AY327:AY328"/>
    <mergeCell ref="BA327:BA328"/>
    <mergeCell ref="AG329:AG330"/>
    <mergeCell ref="AH329:AH330"/>
    <mergeCell ref="AI329:AI330"/>
    <mergeCell ref="AK329:AK330"/>
    <mergeCell ref="AL329:AL330"/>
    <mergeCell ref="AM329:AM330"/>
    <mergeCell ref="AO329:AO330"/>
    <mergeCell ref="AP329:AP330"/>
    <mergeCell ref="AT329:AT330"/>
    <mergeCell ref="AU329:AU330"/>
    <mergeCell ref="AW329:AW330"/>
    <mergeCell ref="AX329:AX330"/>
    <mergeCell ref="AQ329:AQ330"/>
    <mergeCell ref="AS329:AS330"/>
    <mergeCell ref="AY329:AY330"/>
    <mergeCell ref="BA329:BA330"/>
    <mergeCell ref="BB329:BB330"/>
    <mergeCell ref="BC329:BC330"/>
    <mergeCell ref="AG331:AI333"/>
    <mergeCell ref="AK331:AM333"/>
    <mergeCell ref="AO331:AQ333"/>
    <mergeCell ref="AS331:AU333"/>
    <mergeCell ref="AG334:AH334"/>
    <mergeCell ref="AK334:AL334"/>
    <mergeCell ref="AO334:AP334"/>
    <mergeCell ref="AS334:AT334"/>
    <mergeCell ref="AW334:AX334"/>
    <mergeCell ref="BA334:BB334"/>
    <mergeCell ref="AG335:AI335"/>
    <mergeCell ref="AK335:AM335"/>
    <mergeCell ref="AO335:AQ335"/>
    <mergeCell ref="AS335:AU335"/>
    <mergeCell ref="AW335:AY335"/>
    <mergeCell ref="BA335:BC335"/>
    <mergeCell ref="AG336:AG337"/>
    <mergeCell ref="AH336:AH337"/>
    <mergeCell ref="AI336:AI337"/>
    <mergeCell ref="AK336:AK337"/>
    <mergeCell ref="AL336:AL337"/>
    <mergeCell ref="AM336:AM337"/>
    <mergeCell ref="AW331:AY333"/>
    <mergeCell ref="BA331:BC333"/>
    <mergeCell ref="AO336:AO337"/>
    <mergeCell ref="AP336:AP337"/>
    <mergeCell ref="AQ336:AQ337"/>
    <mergeCell ref="AS336:AS337"/>
    <mergeCell ref="AT336:AT337"/>
    <mergeCell ref="AU336:AU337"/>
    <mergeCell ref="AW336:AW337"/>
    <mergeCell ref="AX336:AX337"/>
    <mergeCell ref="AY336:AY337"/>
    <mergeCell ref="BA336:BA337"/>
    <mergeCell ref="BB336:BB337"/>
    <mergeCell ref="BC336:BC337"/>
    <mergeCell ref="AG338:AI340"/>
    <mergeCell ref="AK338:AM340"/>
    <mergeCell ref="AO338:AQ340"/>
    <mergeCell ref="AS338:AU340"/>
    <mergeCell ref="AG341:AH341"/>
    <mergeCell ref="AK341:AL341"/>
    <mergeCell ref="AO341:AP341"/>
    <mergeCell ref="AS341:AT341"/>
    <mergeCell ref="AW341:AX341"/>
    <mergeCell ref="BA341:BB341"/>
    <mergeCell ref="AG342:AI342"/>
    <mergeCell ref="AK342:AM342"/>
    <mergeCell ref="AO342:AQ342"/>
    <mergeCell ref="AS342:AU342"/>
    <mergeCell ref="AW342:AY342"/>
    <mergeCell ref="BA342:BC342"/>
    <mergeCell ref="AG343:AG344"/>
    <mergeCell ref="AH343:AH344"/>
    <mergeCell ref="AI343:AI344"/>
    <mergeCell ref="AK343:AK344"/>
    <mergeCell ref="AL343:AL344"/>
    <mergeCell ref="AM343:AM344"/>
    <mergeCell ref="AO343:AO344"/>
    <mergeCell ref="AP343:AP344"/>
    <mergeCell ref="AQ343:AQ344"/>
    <mergeCell ref="AS343:AS344"/>
    <mergeCell ref="AT343:AT344"/>
    <mergeCell ref="AU343:AU344"/>
    <mergeCell ref="AW338:AY340"/>
    <mergeCell ref="BA338:BC340"/>
    <mergeCell ref="AW343:AW344"/>
    <mergeCell ref="AX343:AX344"/>
    <mergeCell ref="AY343:AY344"/>
    <mergeCell ref="BA343:BA344"/>
    <mergeCell ref="BB343:BB344"/>
    <mergeCell ref="BC343:BC344"/>
    <mergeCell ref="AG345:AI347"/>
    <mergeCell ref="AK345:AM347"/>
    <mergeCell ref="AO345:AQ347"/>
    <mergeCell ref="AS345:AU347"/>
    <mergeCell ref="AG348:AH348"/>
    <mergeCell ref="AK348:AL348"/>
    <mergeCell ref="BC350:BC351"/>
    <mergeCell ref="BE350:BE351"/>
    <mergeCell ref="BF350:BF351"/>
    <mergeCell ref="BG350:BG351"/>
    <mergeCell ref="BE343:BE344"/>
    <mergeCell ref="BF343:BF344"/>
    <mergeCell ref="BG343:BG344"/>
    <mergeCell ref="BE345:BG347"/>
    <mergeCell ref="BE348:BF348"/>
    <mergeCell ref="BE349:BG349"/>
    <mergeCell ref="AL350:AL351"/>
    <mergeCell ref="BE335:BG335"/>
    <mergeCell ref="BE336:BE337"/>
    <mergeCell ref="BF336:BF337"/>
    <mergeCell ref="BG336:BG337"/>
    <mergeCell ref="BE338:BG340"/>
    <mergeCell ref="BE341:BF341"/>
    <mergeCell ref="BE342:BG342"/>
    <mergeCell ref="AM350:AM351"/>
    <mergeCell ref="AO350:AO351"/>
    <mergeCell ref="AP350:AP351"/>
    <mergeCell ref="AQ350:AQ351"/>
    <mergeCell ref="AS350:AS351"/>
    <mergeCell ref="AT350:AT351"/>
    <mergeCell ref="AU350:AU351"/>
    <mergeCell ref="AW350:AW351"/>
    <mergeCell ref="AX350:AX351"/>
    <mergeCell ref="AY350:AY351"/>
    <mergeCell ref="BA350:BA351"/>
    <mergeCell ref="BB350:BB351"/>
    <mergeCell ref="Z325:AA326"/>
    <mergeCell ref="AB325:AB404"/>
    <mergeCell ref="Z329:Z330"/>
    <mergeCell ref="AA329:AA330"/>
    <mergeCell ref="Z336:Z337"/>
    <mergeCell ref="AA336:AA337"/>
    <mergeCell ref="AA343:AA344"/>
    <mergeCell ref="AA276:AA277"/>
    <mergeCell ref="AC276:AC277"/>
    <mergeCell ref="AD276:AD277"/>
    <mergeCell ref="AE276:AE277"/>
    <mergeCell ref="H325:H404"/>
    <mergeCell ref="L325:L404"/>
    <mergeCell ref="P325:P404"/>
    <mergeCell ref="Q350:Q351"/>
    <mergeCell ref="R350:R351"/>
    <mergeCell ref="S350:S351"/>
    <mergeCell ref="U350:U351"/>
    <mergeCell ref="V350:V351"/>
    <mergeCell ref="W350:W351"/>
    <mergeCell ref="Z343:Z344"/>
    <mergeCell ref="Z350:Z351"/>
    <mergeCell ref="Y350:Y351"/>
    <mergeCell ref="AA350:AA351"/>
    <mergeCell ref="AC350:AC351"/>
    <mergeCell ref="AD350:AD351"/>
    <mergeCell ref="AE350:AE351"/>
    <mergeCell ref="I352:K354"/>
    <mergeCell ref="AL75:AL76"/>
    <mergeCell ref="AM75:AM76"/>
    <mergeCell ref="AO75:AO76"/>
    <mergeCell ref="AP75:AP76"/>
    <mergeCell ref="AQ75:AQ76"/>
    <mergeCell ref="AS75:AS76"/>
    <mergeCell ref="AT75:AT76"/>
    <mergeCell ref="AC75:AC76"/>
    <mergeCell ref="AD75:AD76"/>
    <mergeCell ref="AE75:AE76"/>
    <mergeCell ref="AG75:AG76"/>
    <mergeCell ref="AH75:AH76"/>
    <mergeCell ref="AI75:AI76"/>
    <mergeCell ref="AK75:AK76"/>
    <mergeCell ref="AO49:AQ51"/>
    <mergeCell ref="AO52:AP52"/>
    <mergeCell ref="AW74:AY74"/>
    <mergeCell ref="BA74:BC74"/>
    <mergeCell ref="BE74:BG74"/>
    <mergeCell ref="BI74:BK74"/>
    <mergeCell ref="BM74:BO74"/>
    <mergeCell ref="BQ74:BS74"/>
    <mergeCell ref="AO53:AQ53"/>
    <mergeCell ref="AO54:AO55"/>
    <mergeCell ref="AP54:AP55"/>
    <mergeCell ref="AQ54:AQ55"/>
    <mergeCell ref="AC74:AE74"/>
    <mergeCell ref="AG74:AI74"/>
    <mergeCell ref="AK74:AM74"/>
    <mergeCell ref="AU75:AU76"/>
    <mergeCell ref="AW75:AW76"/>
    <mergeCell ref="AX75:AX76"/>
    <mergeCell ref="AY75:AY76"/>
    <mergeCell ref="BA75:BA76"/>
    <mergeCell ref="BB75:BB76"/>
    <mergeCell ref="BC75:BC76"/>
    <mergeCell ref="BN75:BN76"/>
    <mergeCell ref="BO75:BO76"/>
    <mergeCell ref="BQ75:BQ76"/>
    <mergeCell ref="BR75:BR76"/>
    <mergeCell ref="BS75:BS76"/>
    <mergeCell ref="BE75:BE76"/>
    <mergeCell ref="BF75:BF76"/>
    <mergeCell ref="BG75:BG76"/>
    <mergeCell ref="BI75:BI76"/>
    <mergeCell ref="BJ75:BJ76"/>
    <mergeCell ref="BK75:BK76"/>
    <mergeCell ref="BM75:BM76"/>
    <mergeCell ref="AC77:AE79"/>
    <mergeCell ref="AG77:AI79"/>
    <mergeCell ref="AG7:AI9"/>
    <mergeCell ref="AG10:AH10"/>
    <mergeCell ref="AK10:AL10"/>
    <mergeCell ref="AS10:AT10"/>
    <mergeCell ref="AW10:AX10"/>
    <mergeCell ref="BA10:BB10"/>
    <mergeCell ref="BE10:BF10"/>
    <mergeCell ref="AG11:AI11"/>
    <mergeCell ref="AG14:AI16"/>
    <mergeCell ref="AK14:AM16"/>
    <mergeCell ref="AS14:AU16"/>
    <mergeCell ref="AW14:AY16"/>
    <mergeCell ref="BA14:BC16"/>
    <mergeCell ref="BE14:BG16"/>
    <mergeCell ref="AD3:AD4"/>
    <mergeCell ref="AE3:AE4"/>
    <mergeCell ref="BM3:BM4"/>
    <mergeCell ref="BN3:BN4"/>
    <mergeCell ref="BO3:BO4"/>
    <mergeCell ref="BR5:BR6"/>
    <mergeCell ref="BS5:BS6"/>
    <mergeCell ref="BQ7:BS9"/>
    <mergeCell ref="BQ10:BR10"/>
    <mergeCell ref="BQ11:BS11"/>
    <mergeCell ref="BI7:BK9"/>
    <mergeCell ref="BM7:BO9"/>
    <mergeCell ref="BI10:BJ10"/>
    <mergeCell ref="BM10:BN10"/>
    <mergeCell ref="BA11:BC11"/>
    <mergeCell ref="BE11:BG11"/>
    <mergeCell ref="BI11:BK11"/>
    <mergeCell ref="BM11:BO11"/>
    <mergeCell ref="BI14:BK16"/>
    <mergeCell ref="BM14:BO16"/>
    <mergeCell ref="BQ14:BS16"/>
    <mergeCell ref="BA17:BB17"/>
    <mergeCell ref="BE17:BF17"/>
    <mergeCell ref="BI17:BJ17"/>
    <mergeCell ref="BM17:BN17"/>
    <mergeCell ref="BQ17:BR17"/>
    <mergeCell ref="AS18:AU18"/>
    <mergeCell ref="AW18:AY18"/>
    <mergeCell ref="BA18:BC18"/>
    <mergeCell ref="BE18:BG18"/>
    <mergeCell ref="BI18:BK18"/>
    <mergeCell ref="BM18:BO18"/>
    <mergeCell ref="BQ18:BS18"/>
    <mergeCell ref="AC12:AC13"/>
    <mergeCell ref="AD12:AD13"/>
    <mergeCell ref="AC14:AE16"/>
    <mergeCell ref="AC17:AD17"/>
    <mergeCell ref="AS17:AT17"/>
    <mergeCell ref="AW17:AX17"/>
    <mergeCell ref="AC18:AE18"/>
    <mergeCell ref="BJ19:BJ20"/>
    <mergeCell ref="BK19:BK20"/>
    <mergeCell ref="BM19:BM20"/>
    <mergeCell ref="BN19:BN20"/>
    <mergeCell ref="BO19:BO20"/>
    <mergeCell ref="BQ19:BQ20"/>
    <mergeCell ref="BR19:BR20"/>
    <mergeCell ref="BS19:BS20"/>
    <mergeCell ref="BA19:BA20"/>
    <mergeCell ref="BB19:BB20"/>
    <mergeCell ref="BC19:BC20"/>
    <mergeCell ref="BE19:BE20"/>
    <mergeCell ref="BF19:BF20"/>
    <mergeCell ref="BG19:BG20"/>
    <mergeCell ref="BI19:BI20"/>
    <mergeCell ref="AL19:AL20"/>
    <mergeCell ref="AK21:AM23"/>
    <mergeCell ref="AS21:AU23"/>
    <mergeCell ref="AW21:AY23"/>
    <mergeCell ref="BA21:BC23"/>
    <mergeCell ref="BE21:BG23"/>
    <mergeCell ref="BI21:BK23"/>
    <mergeCell ref="BM21:BO23"/>
    <mergeCell ref="BQ21:BS23"/>
    <mergeCell ref="AM19:AM20"/>
    <mergeCell ref="AS19:AS20"/>
    <mergeCell ref="AT19:AT20"/>
    <mergeCell ref="AU19:AU20"/>
    <mergeCell ref="AW19:AW20"/>
    <mergeCell ref="AX19:AX20"/>
    <mergeCell ref="AY19:AY20"/>
    <mergeCell ref="AK17:AL17"/>
    <mergeCell ref="AK18:AM18"/>
    <mergeCell ref="AC19:AC20"/>
    <mergeCell ref="AD19:AD20"/>
    <mergeCell ref="AE19:AE20"/>
    <mergeCell ref="AK19:AK20"/>
    <mergeCell ref="AC21:AE23"/>
    <mergeCell ref="BM24:BN24"/>
    <mergeCell ref="BQ24:BR24"/>
    <mergeCell ref="BM25:BO25"/>
    <mergeCell ref="BQ25:BS25"/>
    <mergeCell ref="BA25:BC25"/>
    <mergeCell ref="BE25:BG25"/>
    <mergeCell ref="AC24:AD24"/>
    <mergeCell ref="AS24:AT24"/>
    <mergeCell ref="AW24:AX24"/>
    <mergeCell ref="BA24:BB24"/>
    <mergeCell ref="BE24:BF24"/>
    <mergeCell ref="BI24:BJ24"/>
    <mergeCell ref="AC25:AE25"/>
    <mergeCell ref="BI25:BK25"/>
    <mergeCell ref="AS25:AU25"/>
    <mergeCell ref="AW25:AY25"/>
    <mergeCell ref="AS26:AS27"/>
    <mergeCell ref="AT26:AT27"/>
    <mergeCell ref="AU26:AU27"/>
    <mergeCell ref="AW26:AW27"/>
    <mergeCell ref="AX26:AX27"/>
    <mergeCell ref="AY26:AY27"/>
    <mergeCell ref="BA26:BA27"/>
    <mergeCell ref="BB26:BB27"/>
    <mergeCell ref="BC26:BC27"/>
    <mergeCell ref="BE26:BE27"/>
    <mergeCell ref="BF26:BF27"/>
    <mergeCell ref="BG26:BG27"/>
    <mergeCell ref="BR26:BR27"/>
    <mergeCell ref="BS26:BS27"/>
    <mergeCell ref="BI26:BI27"/>
    <mergeCell ref="BJ26:BJ27"/>
    <mergeCell ref="BK26:BK27"/>
    <mergeCell ref="BM26:BM27"/>
    <mergeCell ref="BN26:BN27"/>
    <mergeCell ref="BO26:BO27"/>
    <mergeCell ref="BQ26:BQ27"/>
    <mergeCell ref="AK24:AL24"/>
    <mergeCell ref="AK25:AM25"/>
    <mergeCell ref="AC26:AC27"/>
    <mergeCell ref="AD26:AD27"/>
    <mergeCell ref="AK26:AK27"/>
    <mergeCell ref="AL26:AL27"/>
    <mergeCell ref="AM26:AM27"/>
    <mergeCell ref="AS28:AU30"/>
    <mergeCell ref="AW28:AY30"/>
    <mergeCell ref="BA28:BC30"/>
    <mergeCell ref="BE28:BG30"/>
    <mergeCell ref="BI28:BK30"/>
    <mergeCell ref="BM28:BO30"/>
    <mergeCell ref="BQ28:BS30"/>
    <mergeCell ref="BI31:BJ31"/>
    <mergeCell ref="BM31:BN31"/>
    <mergeCell ref="BQ31:BR31"/>
    <mergeCell ref="AK28:AM30"/>
    <mergeCell ref="AK31:AL31"/>
    <mergeCell ref="AO31:AP31"/>
    <mergeCell ref="AS31:AT31"/>
    <mergeCell ref="AW31:AX31"/>
    <mergeCell ref="BA31:BB31"/>
    <mergeCell ref="BE31:BF31"/>
    <mergeCell ref="BM32:BO32"/>
    <mergeCell ref="BQ32:BS32"/>
    <mergeCell ref="BM33:BM34"/>
    <mergeCell ref="BN33:BN34"/>
    <mergeCell ref="BO33:BO34"/>
    <mergeCell ref="BQ33:BQ34"/>
    <mergeCell ref="BR33:BR34"/>
    <mergeCell ref="BS33:BS34"/>
    <mergeCell ref="AK32:AM32"/>
    <mergeCell ref="AO32:AQ32"/>
    <mergeCell ref="AS32:AU32"/>
    <mergeCell ref="AW32:AY32"/>
    <mergeCell ref="BA32:BC32"/>
    <mergeCell ref="BE32:BG32"/>
    <mergeCell ref="BI32:BK32"/>
    <mergeCell ref="AE26:AE27"/>
    <mergeCell ref="AC28:AE30"/>
    <mergeCell ref="AC31:AD31"/>
    <mergeCell ref="AC32:AE32"/>
    <mergeCell ref="AC33:AC34"/>
    <mergeCell ref="AD33:AD34"/>
    <mergeCell ref="AE33:AE34"/>
    <mergeCell ref="AO7:AQ9"/>
    <mergeCell ref="AO10:AP10"/>
    <mergeCell ref="AO17:AP17"/>
    <mergeCell ref="AO18:AQ18"/>
    <mergeCell ref="AO19:AO20"/>
    <mergeCell ref="AP19:AP20"/>
    <mergeCell ref="AQ19:AQ20"/>
    <mergeCell ref="AO21:AQ23"/>
    <mergeCell ref="AO24:AP24"/>
    <mergeCell ref="AO25:AQ25"/>
    <mergeCell ref="AK49:AM51"/>
    <mergeCell ref="AK52:AL52"/>
    <mergeCell ref="BE52:BF52"/>
    <mergeCell ref="BE53:BG53"/>
    <mergeCell ref="BI53:BK53"/>
    <mergeCell ref="BM53:BO53"/>
    <mergeCell ref="BQ53:BS53"/>
    <mergeCell ref="BE49:BG51"/>
    <mergeCell ref="BI49:BK51"/>
    <mergeCell ref="BM49:BO51"/>
    <mergeCell ref="BQ49:BS51"/>
    <mergeCell ref="BI52:BJ52"/>
    <mergeCell ref="BM52:BN52"/>
    <mergeCell ref="BQ52:BR52"/>
    <mergeCell ref="AO11:AQ11"/>
    <mergeCell ref="AO14:AQ16"/>
    <mergeCell ref="AO38:AP38"/>
    <mergeCell ref="AO39:AQ39"/>
    <mergeCell ref="AO40:AO41"/>
    <mergeCell ref="AP40:AP41"/>
    <mergeCell ref="AQ40:AQ41"/>
    <mergeCell ref="AO42:AQ44"/>
    <mergeCell ref="AO45:AP45"/>
    <mergeCell ref="AO46:AQ46"/>
    <mergeCell ref="AO1:AO2"/>
    <mergeCell ref="AP1:AQ2"/>
    <mergeCell ref="AR1:AR80"/>
    <mergeCell ref="AO3:AO4"/>
    <mergeCell ref="AP3:AP4"/>
    <mergeCell ref="AQ3:AQ4"/>
    <mergeCell ref="AO5:AO6"/>
    <mergeCell ref="AO80:AP80"/>
    <mergeCell ref="BE80:BF80"/>
    <mergeCell ref="BI80:BJ80"/>
    <mergeCell ref="BM80:BN80"/>
    <mergeCell ref="BQ80:BR80"/>
    <mergeCell ref="AO74:AQ74"/>
    <mergeCell ref="AS74:AU74"/>
    <mergeCell ref="AG80:AH80"/>
    <mergeCell ref="AK80:AL80"/>
    <mergeCell ref="AS80:AT80"/>
    <mergeCell ref="AW80:AX80"/>
    <mergeCell ref="BA80:BB80"/>
    <mergeCell ref="BM77:BO79"/>
    <mergeCell ref="BQ77:BS79"/>
    <mergeCell ref="BV75:BV76"/>
    <mergeCell ref="BW75:BW76"/>
    <mergeCell ref="AW77:AY79"/>
    <mergeCell ref="BA77:BC79"/>
    <mergeCell ref="BE77:BG79"/>
    <mergeCell ref="BI77:BK79"/>
    <mergeCell ref="BU77:BW79"/>
    <mergeCell ref="N47:N48"/>
    <mergeCell ref="O47:O48"/>
    <mergeCell ref="M52:N52"/>
    <mergeCell ref="Q52:R52"/>
    <mergeCell ref="M53:O53"/>
    <mergeCell ref="Q53:S53"/>
    <mergeCell ref="M54:M55"/>
    <mergeCell ref="S54:S55"/>
    <mergeCell ref="BY75:BY76"/>
    <mergeCell ref="BZ75:BZ76"/>
    <mergeCell ref="BY77:CA79"/>
    <mergeCell ref="BU80:BV80"/>
    <mergeCell ref="BY80:BZ80"/>
    <mergeCell ref="CA75:CA76"/>
    <mergeCell ref="CC75:CC76"/>
    <mergeCell ref="CD75:CD76"/>
    <mergeCell ref="CE75:CE76"/>
    <mergeCell ref="CC77:CE79"/>
    <mergeCell ref="CC80:CD80"/>
    <mergeCell ref="CG75:CG76"/>
    <mergeCell ref="CH75:CH76"/>
    <mergeCell ref="CG77:CI79"/>
    <mergeCell ref="CG80:CH80"/>
    <mergeCell ref="Q54:Q55"/>
    <mergeCell ref="R54:R55"/>
    <mergeCell ref="BU74:BW74"/>
    <mergeCell ref="BY74:CA74"/>
    <mergeCell ref="CC74:CE74"/>
    <mergeCell ref="CG74:CI74"/>
    <mergeCell ref="BU75:BU76"/>
    <mergeCell ref="CI75:CI76"/>
    <mergeCell ref="AS77:AU79"/>
    <mergeCell ref="AC80:AD80"/>
    <mergeCell ref="R1:S2"/>
    <mergeCell ref="U1:U2"/>
    <mergeCell ref="V1:W2"/>
    <mergeCell ref="Y1:Y2"/>
    <mergeCell ref="Z1:AA2"/>
    <mergeCell ref="AC1:AC2"/>
    <mergeCell ref="AD1:AE2"/>
    <mergeCell ref="AW1:AW2"/>
    <mergeCell ref="AX1:AY2"/>
    <mergeCell ref="BA1:BA2"/>
    <mergeCell ref="BB1:BC2"/>
    <mergeCell ref="BE1:BE2"/>
    <mergeCell ref="BF1:BG2"/>
    <mergeCell ref="BI1:BI2"/>
    <mergeCell ref="BY1:BY2"/>
    <mergeCell ref="BZ1:CA2"/>
    <mergeCell ref="CC1:CC2"/>
    <mergeCell ref="CD1:CE2"/>
    <mergeCell ref="CG1:CG2"/>
    <mergeCell ref="CH1:CI2"/>
    <mergeCell ref="BJ1:BK2"/>
    <mergeCell ref="BM1:BM2"/>
    <mergeCell ref="BN1:BO2"/>
    <mergeCell ref="BQ1:BQ2"/>
    <mergeCell ref="BR1:BS2"/>
    <mergeCell ref="BU1:BU2"/>
    <mergeCell ref="BV1:BW2"/>
    <mergeCell ref="AL5:AL6"/>
    <mergeCell ref="AM5:AM6"/>
    <mergeCell ref="AK12:AK13"/>
    <mergeCell ref="AL12:AL13"/>
    <mergeCell ref="AO12:AO13"/>
    <mergeCell ref="AP12:AP13"/>
    <mergeCell ref="AQ12:AQ13"/>
    <mergeCell ref="AK5:AK6"/>
    <mergeCell ref="AK33:AK34"/>
    <mergeCell ref="AL33:AL34"/>
    <mergeCell ref="AM33:AM34"/>
    <mergeCell ref="AO33:AO34"/>
    <mergeCell ref="AP33:AP34"/>
    <mergeCell ref="AQ33:AQ34"/>
    <mergeCell ref="AM47:AM48"/>
    <mergeCell ref="AO47:AO48"/>
    <mergeCell ref="AP47:AP48"/>
    <mergeCell ref="AQ47:AQ48"/>
    <mergeCell ref="AO77:AQ79"/>
    <mergeCell ref="AK1:AK2"/>
    <mergeCell ref="AL1:AM2"/>
    <mergeCell ref="AN1:AN80"/>
    <mergeCell ref="AK3:AK4"/>
    <mergeCell ref="AL3:AL4"/>
    <mergeCell ref="AM3:AM4"/>
    <mergeCell ref="AM12:AM13"/>
    <mergeCell ref="AK77:AM79"/>
    <mergeCell ref="R5:R6"/>
    <mergeCell ref="S5:S6"/>
    <mergeCell ref="U14:W16"/>
    <mergeCell ref="U17:V17"/>
    <mergeCell ref="U18:W18"/>
    <mergeCell ref="U19:U20"/>
    <mergeCell ref="V19:V20"/>
    <mergeCell ref="W19:W20"/>
    <mergeCell ref="U21:W23"/>
    <mergeCell ref="U24:V24"/>
    <mergeCell ref="U25:W25"/>
    <mergeCell ref="U26:U27"/>
    <mergeCell ref="V26:V27"/>
    <mergeCell ref="W26:W27"/>
    <mergeCell ref="U28:W30"/>
    <mergeCell ref="U31:V31"/>
    <mergeCell ref="U32:W32"/>
    <mergeCell ref="U33:U34"/>
    <mergeCell ref="V33:V34"/>
    <mergeCell ref="W33:W34"/>
    <mergeCell ref="U35:W37"/>
    <mergeCell ref="U38:V38"/>
    <mergeCell ref="U39:W39"/>
    <mergeCell ref="U40:U41"/>
    <mergeCell ref="V40:V41"/>
    <mergeCell ref="W40:W41"/>
    <mergeCell ref="U42:W44"/>
    <mergeCell ref="U45:V45"/>
    <mergeCell ref="U46:W46"/>
    <mergeCell ref="U47:U48"/>
    <mergeCell ref="V47:V48"/>
    <mergeCell ref="W47:W48"/>
    <mergeCell ref="U49:W51"/>
    <mergeCell ref="U52:V52"/>
    <mergeCell ref="U53:W53"/>
    <mergeCell ref="W75:W76"/>
    <mergeCell ref="Y75:Y76"/>
    <mergeCell ref="U77:W79"/>
    <mergeCell ref="Y77:AA79"/>
    <mergeCell ref="U80:V80"/>
    <mergeCell ref="Y80:Z80"/>
    <mergeCell ref="Z75:Z76"/>
    <mergeCell ref="AA75:AA76"/>
    <mergeCell ref="U54:U55"/>
    <mergeCell ref="V54:V55"/>
    <mergeCell ref="W54:W55"/>
    <mergeCell ref="U74:W74"/>
    <mergeCell ref="Y74:AA74"/>
    <mergeCell ref="U75:U76"/>
    <mergeCell ref="V75:V76"/>
    <mergeCell ref="AC3:AC4"/>
    <mergeCell ref="AC5:AC6"/>
    <mergeCell ref="AD5:AD6"/>
    <mergeCell ref="AE5:AE6"/>
    <mergeCell ref="AG12:AG13"/>
    <mergeCell ref="AH12:AH13"/>
    <mergeCell ref="AI12:AI13"/>
    <mergeCell ref="Y17:Z17"/>
    <mergeCell ref="Y18:AA18"/>
    <mergeCell ref="Y19:Y20"/>
    <mergeCell ref="Z19:Z20"/>
    <mergeCell ref="AA19:AA20"/>
    <mergeCell ref="Y21:AA23"/>
    <mergeCell ref="Y24:Z24"/>
    <mergeCell ref="Y25:AA25"/>
    <mergeCell ref="Y26:Y27"/>
    <mergeCell ref="Z26:Z27"/>
    <mergeCell ref="AI33:AI34"/>
    <mergeCell ref="S40:S41"/>
    <mergeCell ref="Q42:S44"/>
    <mergeCell ref="R19:R20"/>
    <mergeCell ref="S19:S20"/>
    <mergeCell ref="Q35:S37"/>
    <mergeCell ref="Q38:R38"/>
    <mergeCell ref="Q39:S39"/>
    <mergeCell ref="Q40:Q41"/>
    <mergeCell ref="R40:R41"/>
    <mergeCell ref="N54:N55"/>
    <mergeCell ref="O54:O55"/>
    <mergeCell ref="M77:O79"/>
    <mergeCell ref="M80:N80"/>
    <mergeCell ref="J54:J55"/>
    <mergeCell ref="J75:J76"/>
    <mergeCell ref="K75:K76"/>
    <mergeCell ref="M75:M76"/>
    <mergeCell ref="N75:N76"/>
    <mergeCell ref="O75:O76"/>
    <mergeCell ref="Q75:Q76"/>
    <mergeCell ref="M14:O16"/>
    <mergeCell ref="Q14:S16"/>
    <mergeCell ref="M17:N17"/>
    <mergeCell ref="Q17:R17"/>
    <mergeCell ref="M18:O18"/>
    <mergeCell ref="Q18:S18"/>
    <mergeCell ref="O19:O20"/>
    <mergeCell ref="Q19:Q20"/>
    <mergeCell ref="M19:M20"/>
    <mergeCell ref="N19:N20"/>
    <mergeCell ref="M35:O37"/>
    <mergeCell ref="M38:N38"/>
    <mergeCell ref="M39:O39"/>
    <mergeCell ref="M40:M41"/>
    <mergeCell ref="N40:N41"/>
    <mergeCell ref="J19:J20"/>
    <mergeCell ref="K19:K20"/>
    <mergeCell ref="J40:J41"/>
    <mergeCell ref="K40:K41"/>
    <mergeCell ref="J47:J48"/>
    <mergeCell ref="K47:K48"/>
    <mergeCell ref="K54:K55"/>
    <mergeCell ref="R75:R76"/>
    <mergeCell ref="S75:S76"/>
    <mergeCell ref="Q77:S79"/>
    <mergeCell ref="Q80:R80"/>
    <mergeCell ref="AX40:AX41"/>
    <mergeCell ref="AY40:AY41"/>
    <mergeCell ref="AS35:AU37"/>
    <mergeCell ref="AS38:AT38"/>
    <mergeCell ref="AS39:AU39"/>
    <mergeCell ref="AS40:AS41"/>
    <mergeCell ref="AT40:AT41"/>
    <mergeCell ref="AU40:AU41"/>
    <mergeCell ref="AW40:AW41"/>
    <mergeCell ref="BE35:BG37"/>
    <mergeCell ref="BI35:BK37"/>
    <mergeCell ref="BM35:BO37"/>
    <mergeCell ref="BQ35:BS37"/>
    <mergeCell ref="BI38:BJ38"/>
    <mergeCell ref="BM38:BN38"/>
    <mergeCell ref="BQ38:BR38"/>
    <mergeCell ref="BA35:BC37"/>
    <mergeCell ref="BA38:BB38"/>
    <mergeCell ref="BE38:BF38"/>
    <mergeCell ref="AC35:AE37"/>
    <mergeCell ref="AK35:AM37"/>
    <mergeCell ref="AO35:AQ37"/>
    <mergeCell ref="AW35:AY37"/>
    <mergeCell ref="AC38:AD38"/>
    <mergeCell ref="AK38:AL38"/>
    <mergeCell ref="AW38:AX38"/>
    <mergeCell ref="BM39:BO39"/>
    <mergeCell ref="BQ39:BS39"/>
    <mergeCell ref="BN40:BN41"/>
    <mergeCell ref="BO40:BO41"/>
    <mergeCell ref="BQ40:BQ41"/>
    <mergeCell ref="BR40:BR41"/>
    <mergeCell ref="BS40:BS41"/>
    <mergeCell ref="AC39:AE39"/>
    <mergeCell ref="AG39:AI39"/>
    <mergeCell ref="AK39:AM39"/>
    <mergeCell ref="AW39:AY39"/>
    <mergeCell ref="BA39:BC39"/>
    <mergeCell ref="BE39:BG39"/>
    <mergeCell ref="BI39:BK39"/>
    <mergeCell ref="AI40:AI41"/>
    <mergeCell ref="AK40:AK41"/>
    <mergeCell ref="AL40:AL41"/>
    <mergeCell ref="AM40:AM41"/>
    <mergeCell ref="AG35:AI37"/>
    <mergeCell ref="AG38:AH38"/>
    <mergeCell ref="AC40:AC41"/>
    <mergeCell ref="AD40:AD41"/>
    <mergeCell ref="AE40:AE41"/>
    <mergeCell ref="AG40:AG41"/>
    <mergeCell ref="AH40:AH41"/>
    <mergeCell ref="CC33:CC34"/>
    <mergeCell ref="CD33:CD34"/>
    <mergeCell ref="CC35:CE37"/>
    <mergeCell ref="CC38:CD38"/>
    <mergeCell ref="CC39:CE39"/>
    <mergeCell ref="BZ33:BZ34"/>
    <mergeCell ref="CA33:CA34"/>
    <mergeCell ref="BU35:BW37"/>
    <mergeCell ref="BY35:CA37"/>
    <mergeCell ref="BU38:BV38"/>
    <mergeCell ref="BY38:BZ38"/>
    <mergeCell ref="BY39:CA39"/>
    <mergeCell ref="CG11:CI11"/>
    <mergeCell ref="CG12:CG13"/>
    <mergeCell ref="CH12:CH13"/>
    <mergeCell ref="CI12:CI13"/>
    <mergeCell ref="CG14:CI16"/>
    <mergeCell ref="CG17:CH17"/>
    <mergeCell ref="CG18:CI18"/>
    <mergeCell ref="CH26:CH27"/>
    <mergeCell ref="CI26:CI27"/>
    <mergeCell ref="CG19:CG20"/>
    <mergeCell ref="CH19:CH20"/>
    <mergeCell ref="CI19:CI20"/>
    <mergeCell ref="CG21:CI23"/>
    <mergeCell ref="CG24:CH24"/>
    <mergeCell ref="CG25:CI25"/>
    <mergeCell ref="CG26:CG27"/>
    <mergeCell ref="CE33:CE34"/>
    <mergeCell ref="CG33:CG34"/>
    <mergeCell ref="CH33:CH34"/>
    <mergeCell ref="CI33:CI34"/>
    <mergeCell ref="CG35:CI37"/>
    <mergeCell ref="CG38:CH38"/>
    <mergeCell ref="CG39:CI39"/>
    <mergeCell ref="CG28:CI30"/>
    <mergeCell ref="CG31:CH31"/>
    <mergeCell ref="CG32:CI32"/>
    <mergeCell ref="BU33:BU34"/>
    <mergeCell ref="BV33:BV34"/>
    <mergeCell ref="BW33:BW34"/>
    <mergeCell ref="BY33:BY34"/>
    <mergeCell ref="CA40:CA41"/>
    <mergeCell ref="CC40:CC41"/>
    <mergeCell ref="CD40:CD41"/>
    <mergeCell ref="CE40:CE41"/>
    <mergeCell ref="CG40:CG41"/>
    <mergeCell ref="CH40:CH41"/>
    <mergeCell ref="CI40:CI41"/>
    <mergeCell ref="BI40:BI41"/>
    <mergeCell ref="BJ40:BJ41"/>
    <mergeCell ref="BU40:BU41"/>
    <mergeCell ref="BV40:BV41"/>
    <mergeCell ref="BW40:BW41"/>
    <mergeCell ref="BY40:BY41"/>
    <mergeCell ref="BZ40:BZ41"/>
    <mergeCell ref="AA26:AA27"/>
    <mergeCell ref="Y28:AA30"/>
    <mergeCell ref="Y31:Z31"/>
    <mergeCell ref="Y32:AA32"/>
    <mergeCell ref="Y33:Y34"/>
    <mergeCell ref="Z33:Z34"/>
    <mergeCell ref="AA33:AA34"/>
    <mergeCell ref="Y35:AA37"/>
    <mergeCell ref="Y38:Z38"/>
    <mergeCell ref="Y39:AA39"/>
    <mergeCell ref="Y40:Y41"/>
    <mergeCell ref="Z40:Z41"/>
    <mergeCell ref="AA40:AA41"/>
    <mergeCell ref="Y42:AA44"/>
    <mergeCell ref="AE12:AE13"/>
    <mergeCell ref="Y14:AA16"/>
    <mergeCell ref="AD54:AD55"/>
    <mergeCell ref="AE54:AE55"/>
    <mergeCell ref="X1:X80"/>
    <mergeCell ref="AB1:AB80"/>
    <mergeCell ref="AF1:AF80"/>
    <mergeCell ref="Y3:Y4"/>
    <mergeCell ref="Z3:Z4"/>
    <mergeCell ref="AA3:AA4"/>
    <mergeCell ref="AA5:AA6"/>
    <mergeCell ref="Y45:Z45"/>
    <mergeCell ref="Y46:AA46"/>
    <mergeCell ref="Y47:Y48"/>
    <mergeCell ref="Z47:Z48"/>
    <mergeCell ref="AA47:AA48"/>
    <mergeCell ref="Y49:AA51"/>
    <mergeCell ref="AC49:AE51"/>
    <mergeCell ref="Y52:Z52"/>
    <mergeCell ref="AC52:AD52"/>
    <mergeCell ref="Y53:AA53"/>
    <mergeCell ref="AC53:AE53"/>
    <mergeCell ref="Y54:Y55"/>
    <mergeCell ref="Z54:Z55"/>
    <mergeCell ref="AA54:AA55"/>
    <mergeCell ref="AC54:AC55"/>
    <mergeCell ref="AE47:AE48"/>
    <mergeCell ref="AG47:AG48"/>
    <mergeCell ref="AG42:AI44"/>
    <mergeCell ref="AG45:AH45"/>
    <mergeCell ref="AC46:AE46"/>
    <mergeCell ref="AG46:AI46"/>
    <mergeCell ref="AK46:AM46"/>
    <mergeCell ref="AC47:AC48"/>
    <mergeCell ref="AD47:AD48"/>
    <mergeCell ref="AS42:AU44"/>
    <mergeCell ref="AS45:AT45"/>
    <mergeCell ref="AS46:AU46"/>
    <mergeCell ref="AW46:AY46"/>
    <mergeCell ref="BA42:BC44"/>
    <mergeCell ref="BA45:BB45"/>
    <mergeCell ref="BA46:BC46"/>
    <mergeCell ref="BE46:BG46"/>
    <mergeCell ref="AC42:AE44"/>
    <mergeCell ref="AK42:AM44"/>
    <mergeCell ref="AW42:AY44"/>
    <mergeCell ref="BE42:BG44"/>
    <mergeCell ref="AC45:AD45"/>
    <mergeCell ref="AK45:AL45"/>
    <mergeCell ref="AW45:AX45"/>
    <mergeCell ref="BE45:BF45"/>
    <mergeCell ref="BM46:BO46"/>
    <mergeCell ref="BQ46:BS46"/>
    <mergeCell ref="AH47:AH48"/>
    <mergeCell ref="AI47:AI48"/>
    <mergeCell ref="AK47:AK48"/>
    <mergeCell ref="AL47:AL48"/>
    <mergeCell ref="BJ47:BJ48"/>
    <mergeCell ref="BK47:BK48"/>
    <mergeCell ref="BM47:BM48"/>
    <mergeCell ref="BN47:BN48"/>
    <mergeCell ref="BO47:BO48"/>
    <mergeCell ref="BQ47:BQ48"/>
    <mergeCell ref="BR47:BR48"/>
    <mergeCell ref="BS47:BS48"/>
    <mergeCell ref="BI42:BK44"/>
    <mergeCell ref="BM42:BO44"/>
    <mergeCell ref="BQ42:BS44"/>
    <mergeCell ref="BI45:BJ45"/>
    <mergeCell ref="BM45:BN45"/>
    <mergeCell ref="BQ45:BR45"/>
    <mergeCell ref="BI46:BK46"/>
    <mergeCell ref="BG47:BG48"/>
    <mergeCell ref="BI47:BI48"/>
    <mergeCell ref="BU47:BU48"/>
    <mergeCell ref="BV47:BV48"/>
    <mergeCell ref="BW47:BW48"/>
    <mergeCell ref="BY47:BY48"/>
    <mergeCell ref="BZ47:BZ48"/>
    <mergeCell ref="CA47:CA48"/>
    <mergeCell ref="CC47:CC48"/>
    <mergeCell ref="CD47:CD48"/>
    <mergeCell ref="CE47:CE48"/>
    <mergeCell ref="CG47:CG48"/>
    <mergeCell ref="CH47:CH48"/>
    <mergeCell ref="CI47:CI48"/>
    <mergeCell ref="BU45:BV45"/>
    <mergeCell ref="BU46:BW46"/>
    <mergeCell ref="BY46:CA46"/>
    <mergeCell ref="CG46:CI46"/>
    <mergeCell ref="AS47:AS48"/>
    <mergeCell ref="AT47:AT48"/>
    <mergeCell ref="AU47:AU48"/>
    <mergeCell ref="BU39:BW39"/>
    <mergeCell ref="BA40:BA41"/>
    <mergeCell ref="BB40:BB41"/>
    <mergeCell ref="BC40:BC41"/>
    <mergeCell ref="BE40:BE41"/>
    <mergeCell ref="BF40:BF41"/>
    <mergeCell ref="BG40:BG41"/>
    <mergeCell ref="CC42:CE44"/>
    <mergeCell ref="CC45:CD45"/>
    <mergeCell ref="CC46:CE46"/>
    <mergeCell ref="BK40:BK41"/>
    <mergeCell ref="BM40:BM41"/>
    <mergeCell ref="BU42:BW44"/>
    <mergeCell ref="BY42:CA44"/>
    <mergeCell ref="CG42:CI44"/>
    <mergeCell ref="BY45:BZ45"/>
    <mergeCell ref="CG45:CH45"/>
    <mergeCell ref="AW47:AW48"/>
    <mergeCell ref="AX47:AX48"/>
    <mergeCell ref="AY47:AY48"/>
    <mergeCell ref="BA47:BA48"/>
    <mergeCell ref="BB47:BB48"/>
    <mergeCell ref="BC47:BC48"/>
    <mergeCell ref="BE47:BE48"/>
    <mergeCell ref="BF47:BF48"/>
    <mergeCell ref="AO26:AO27"/>
    <mergeCell ref="AP26:AP27"/>
    <mergeCell ref="AG49:AI51"/>
    <mergeCell ref="AS49:AU51"/>
    <mergeCell ref="BA49:BC51"/>
    <mergeCell ref="AS52:AT52"/>
    <mergeCell ref="BA52:BB52"/>
    <mergeCell ref="AG52:AH52"/>
    <mergeCell ref="AG53:AI53"/>
    <mergeCell ref="AK53:AM53"/>
    <mergeCell ref="AS53:AU53"/>
    <mergeCell ref="BA53:BC53"/>
    <mergeCell ref="AG54:AG55"/>
    <mergeCell ref="AH54:AH55"/>
    <mergeCell ref="AQ26:AQ27"/>
    <mergeCell ref="AO28:AQ30"/>
    <mergeCell ref="AW49:AY51"/>
    <mergeCell ref="AW52:AX52"/>
    <mergeCell ref="AW53:AY53"/>
    <mergeCell ref="AI54:AI55"/>
    <mergeCell ref="AK54:AK55"/>
    <mergeCell ref="AL54:AL55"/>
    <mergeCell ref="AM54:AM55"/>
    <mergeCell ref="AS54:AS55"/>
    <mergeCell ref="AT54:AT55"/>
    <mergeCell ref="AU54:AU55"/>
    <mergeCell ref="AW54:AW55"/>
    <mergeCell ref="AX54:AX55"/>
    <mergeCell ref="AY54:AY55"/>
    <mergeCell ref="Q47:Q48"/>
    <mergeCell ref="R47:R48"/>
    <mergeCell ref="Q49:S51"/>
    <mergeCell ref="BU49:BW51"/>
    <mergeCell ref="CC49:CE51"/>
    <mergeCell ref="BU52:BV52"/>
    <mergeCell ref="CC52:CD52"/>
    <mergeCell ref="BY49:CA51"/>
    <mergeCell ref="BY52:BZ52"/>
    <mergeCell ref="BU53:BW53"/>
    <mergeCell ref="BY53:CA53"/>
    <mergeCell ref="CC53:CE53"/>
    <mergeCell ref="BA54:BA55"/>
    <mergeCell ref="BB54:BB55"/>
    <mergeCell ref="M47:M48"/>
    <mergeCell ref="M49:O51"/>
    <mergeCell ref="O40:O41"/>
    <mergeCell ref="M42:O44"/>
    <mergeCell ref="M45:N45"/>
    <mergeCell ref="Q45:R45"/>
    <mergeCell ref="M46:O46"/>
    <mergeCell ref="Q46:S46"/>
    <mergeCell ref="S47:S48"/>
    <mergeCell ref="CG49:CI51"/>
    <mergeCell ref="CG52:CH52"/>
    <mergeCell ref="CG53:CI53"/>
    <mergeCell ref="BC54:BC55"/>
    <mergeCell ref="BE54:BE55"/>
    <mergeCell ref="BF54:BF55"/>
    <mergeCell ref="BG54:BG55"/>
    <mergeCell ref="BI54:BI55"/>
    <mergeCell ref="BJ54:BJ55"/>
    <mergeCell ref="BK54:BK55"/>
    <mergeCell ref="BM54:BM55"/>
    <mergeCell ref="M21:O23"/>
    <mergeCell ref="Q21:S23"/>
    <mergeCell ref="M24:N24"/>
    <mergeCell ref="Q24:R24"/>
    <mergeCell ref="M25:O25"/>
    <mergeCell ref="Q25:S25"/>
    <mergeCell ref="J26:J27"/>
    <mergeCell ref="K26:K27"/>
    <mergeCell ref="M26:M27"/>
    <mergeCell ref="N26:N27"/>
    <mergeCell ref="O26:O27"/>
    <mergeCell ref="Q26:Q27"/>
    <mergeCell ref="R26:R27"/>
    <mergeCell ref="S26:S27"/>
    <mergeCell ref="I18:K18"/>
    <mergeCell ref="I21:K23"/>
    <mergeCell ref="I24:J24"/>
    <mergeCell ref="I25:K25"/>
    <mergeCell ref="I28:K30"/>
    <mergeCell ref="M31:N31"/>
    <mergeCell ref="Q31:R31"/>
    <mergeCell ref="I31:J31"/>
    <mergeCell ref="I32:K32"/>
    <mergeCell ref="M32:O32"/>
    <mergeCell ref="Q32:S32"/>
    <mergeCell ref="I35:K37"/>
    <mergeCell ref="I38:J38"/>
    <mergeCell ref="I39:K39"/>
    <mergeCell ref="I42:K44"/>
    <mergeCell ref="I45:J45"/>
    <mergeCell ref="I46:K46"/>
    <mergeCell ref="I49:K51"/>
    <mergeCell ref="I52:J52"/>
    <mergeCell ref="I53:K53"/>
    <mergeCell ref="I56:K58"/>
    <mergeCell ref="I74:K74"/>
    <mergeCell ref="I75:I76"/>
    <mergeCell ref="I77:K79"/>
    <mergeCell ref="I80:J80"/>
    <mergeCell ref="I59:J59"/>
    <mergeCell ref="I60:K60"/>
    <mergeCell ref="I63:K65"/>
    <mergeCell ref="I66:J66"/>
    <mergeCell ref="I67:K67"/>
    <mergeCell ref="I70:K72"/>
    <mergeCell ref="I73:J73"/>
    <mergeCell ref="M28:O30"/>
    <mergeCell ref="Q28:S30"/>
    <mergeCell ref="J33:J34"/>
    <mergeCell ref="K33:K34"/>
    <mergeCell ref="M33:M34"/>
    <mergeCell ref="N33:N34"/>
    <mergeCell ref="O33:O34"/>
    <mergeCell ref="Q33:Q34"/>
    <mergeCell ref="R33:R34"/>
    <mergeCell ref="S33:S34"/>
    <mergeCell ref="M59:N59"/>
    <mergeCell ref="Q59:R59"/>
    <mergeCell ref="M60:O60"/>
    <mergeCell ref="Q60:S60"/>
    <mergeCell ref="U56:W58"/>
    <mergeCell ref="Y56:AA58"/>
    <mergeCell ref="U59:V59"/>
    <mergeCell ref="Y59:Z59"/>
    <mergeCell ref="U60:W60"/>
    <mergeCell ref="Y60:AA60"/>
    <mergeCell ref="AA61:AA62"/>
    <mergeCell ref="AA68:AA69"/>
    <mergeCell ref="Y70:AA72"/>
    <mergeCell ref="Y73:Z73"/>
    <mergeCell ref="Y61:Y62"/>
    <mergeCell ref="Z61:Z62"/>
    <mergeCell ref="Y63:AA65"/>
    <mergeCell ref="Y66:Z66"/>
    <mergeCell ref="Y67:AA67"/>
    <mergeCell ref="Y68:Y69"/>
    <mergeCell ref="Z68:Z69"/>
    <mergeCell ref="U70:W72"/>
    <mergeCell ref="U73:V73"/>
    <mergeCell ref="U82:U83"/>
    <mergeCell ref="V82:W83"/>
    <mergeCell ref="Y82:Y83"/>
    <mergeCell ref="Z82:AA83"/>
    <mergeCell ref="U61:U62"/>
    <mergeCell ref="U63:W65"/>
    <mergeCell ref="U66:V66"/>
    <mergeCell ref="U67:W67"/>
    <mergeCell ref="U68:U69"/>
    <mergeCell ref="V68:V69"/>
    <mergeCell ref="W68:W69"/>
    <mergeCell ref="M3:M4"/>
    <mergeCell ref="N3:N4"/>
    <mergeCell ref="Q1:Q2"/>
    <mergeCell ref="Q3:Q4"/>
    <mergeCell ref="R3:R4"/>
    <mergeCell ref="S3:S4"/>
    <mergeCell ref="M5:M6"/>
    <mergeCell ref="N5:N6"/>
    <mergeCell ref="O5:O6"/>
    <mergeCell ref="Q5:Q6"/>
    <mergeCell ref="J5:J6"/>
    <mergeCell ref="K5:K6"/>
    <mergeCell ref="I7:K9"/>
    <mergeCell ref="I10:J10"/>
    <mergeCell ref="I11:K11"/>
    <mergeCell ref="I14:K16"/>
    <mergeCell ref="I17:J17"/>
    <mergeCell ref="V61:V62"/>
    <mergeCell ref="W61:W62"/>
    <mergeCell ref="M56:O58"/>
    <mergeCell ref="Q56:S58"/>
    <mergeCell ref="J61:J62"/>
    <mergeCell ref="K61:K62"/>
    <mergeCell ref="M61:M62"/>
    <mergeCell ref="N61:N62"/>
    <mergeCell ref="O61:O62"/>
    <mergeCell ref="Q61:Q62"/>
    <mergeCell ref="R61:R62"/>
    <mergeCell ref="S61:S62"/>
    <mergeCell ref="M66:N66"/>
    <mergeCell ref="Q66:R66"/>
    <mergeCell ref="M67:O67"/>
    <mergeCell ref="Q67:S67"/>
    <mergeCell ref="R82:S83"/>
    <mergeCell ref="R86:R87"/>
    <mergeCell ref="S86:S87"/>
    <mergeCell ref="Z86:Z87"/>
    <mergeCell ref="AA86:AA87"/>
    <mergeCell ref="AC86:AC87"/>
    <mergeCell ref="AD86:AD87"/>
    <mergeCell ref="U91:V91"/>
    <mergeCell ref="Y91:Z91"/>
    <mergeCell ref="AC91:AD91"/>
    <mergeCell ref="U92:W92"/>
    <mergeCell ref="Y92:AA92"/>
    <mergeCell ref="R68:R69"/>
    <mergeCell ref="R93:R94"/>
    <mergeCell ref="S93:S94"/>
    <mergeCell ref="U93:U94"/>
    <mergeCell ref="V93:V94"/>
    <mergeCell ref="W93:W94"/>
    <mergeCell ref="Y93:Y94"/>
    <mergeCell ref="Z93:Z94"/>
    <mergeCell ref="AA93:AA94"/>
    <mergeCell ref="AC93:AC94"/>
    <mergeCell ref="AD93:AD94"/>
    <mergeCell ref="AE93:AE94"/>
    <mergeCell ref="U95:W97"/>
    <mergeCell ref="Y95:AA97"/>
    <mergeCell ref="AC95:AE97"/>
    <mergeCell ref="U98:V98"/>
    <mergeCell ref="Y98:Z98"/>
    <mergeCell ref="AC98:AD98"/>
    <mergeCell ref="U99:W99"/>
    <mergeCell ref="Y99:AA99"/>
    <mergeCell ref="R100:R101"/>
    <mergeCell ref="AE86:AE87"/>
    <mergeCell ref="U88:W90"/>
    <mergeCell ref="Y88:AA90"/>
    <mergeCell ref="AC88:AE90"/>
    <mergeCell ref="S68:S69"/>
    <mergeCell ref="S100:S101"/>
    <mergeCell ref="R114:R115"/>
    <mergeCell ref="S114:S115"/>
    <mergeCell ref="U100:U101"/>
    <mergeCell ref="V100:V101"/>
    <mergeCell ref="V114:V115"/>
    <mergeCell ref="W114:W115"/>
    <mergeCell ref="Y114:Y115"/>
    <mergeCell ref="Z114:Z115"/>
    <mergeCell ref="AA114:AA115"/>
    <mergeCell ref="W100:W101"/>
    <mergeCell ref="Y100:Y101"/>
    <mergeCell ref="Z100:Z101"/>
    <mergeCell ref="AA100:AA101"/>
    <mergeCell ref="AC100:AC101"/>
    <mergeCell ref="AD100:AD101"/>
    <mergeCell ref="AC114:AC115"/>
    <mergeCell ref="AD114:AD115"/>
    <mergeCell ref="AE114:AE115"/>
    <mergeCell ref="U105:V105"/>
    <mergeCell ref="Y105:Z105"/>
    <mergeCell ref="R107:R108"/>
    <mergeCell ref="S107:S108"/>
    <mergeCell ref="AE107:AE108"/>
    <mergeCell ref="U109:W111"/>
    <mergeCell ref="Y109:AA111"/>
    <mergeCell ref="AC109:AE111"/>
    <mergeCell ref="U116:W118"/>
    <mergeCell ref="Y116:AA118"/>
    <mergeCell ref="AC116:AE118"/>
    <mergeCell ref="U119:V119"/>
    <mergeCell ref="Y119:Z119"/>
    <mergeCell ref="AC119:AD119"/>
    <mergeCell ref="T82:T161"/>
    <mergeCell ref="X82:X161"/>
    <mergeCell ref="AB82:AB161"/>
    <mergeCell ref="AF82:AF161"/>
    <mergeCell ref="AE84:AE85"/>
    <mergeCell ref="AC92:AE92"/>
    <mergeCell ref="AC99:AE99"/>
    <mergeCell ref="AE100:AE101"/>
    <mergeCell ref="U102:W104"/>
    <mergeCell ref="Y102:AA104"/>
    <mergeCell ref="AC102:AE104"/>
    <mergeCell ref="AC105:AD105"/>
    <mergeCell ref="U106:W106"/>
    <mergeCell ref="Y106:AA106"/>
    <mergeCell ref="AC107:AC108"/>
    <mergeCell ref="AD107:AD108"/>
    <mergeCell ref="AC106:AE106"/>
    <mergeCell ref="U107:U108"/>
    <mergeCell ref="V107:V108"/>
    <mergeCell ref="W107:W108"/>
    <mergeCell ref="Y107:Y108"/>
    <mergeCell ref="Z107:Z108"/>
    <mergeCell ref="AA107:AA108"/>
    <mergeCell ref="U112:V112"/>
    <mergeCell ref="Y112:Z112"/>
    <mergeCell ref="AC112:AD112"/>
    <mergeCell ref="U113:W113"/>
    <mergeCell ref="Y113:AA113"/>
    <mergeCell ref="AC113:AE113"/>
    <mergeCell ref="U114:U115"/>
    <mergeCell ref="R84:R85"/>
    <mergeCell ref="S84:S85"/>
    <mergeCell ref="U84:U85"/>
    <mergeCell ref="V84:V85"/>
    <mergeCell ref="W84:W85"/>
    <mergeCell ref="Y84:Y85"/>
    <mergeCell ref="Z84:Z85"/>
    <mergeCell ref="AA84:AA85"/>
    <mergeCell ref="U86:U87"/>
    <mergeCell ref="V86:V87"/>
    <mergeCell ref="W86:W87"/>
    <mergeCell ref="Y86:Y87"/>
    <mergeCell ref="AC84:AC85"/>
    <mergeCell ref="AD84:AD85"/>
    <mergeCell ref="AG84:AG85"/>
    <mergeCell ref="AH84:AH85"/>
    <mergeCell ref="AG86:AG87"/>
    <mergeCell ref="AH86:AH87"/>
    <mergeCell ref="AI86:AI87"/>
    <mergeCell ref="AI84:AI85"/>
    <mergeCell ref="AK84:AK85"/>
    <mergeCell ref="AL84:AL85"/>
    <mergeCell ref="AM84:AM85"/>
    <mergeCell ref="AO84:AO85"/>
    <mergeCell ref="AP84:AP85"/>
    <mergeCell ref="AQ84:AQ85"/>
    <mergeCell ref="AS84:AS85"/>
    <mergeCell ref="AT84:AT85"/>
    <mergeCell ref="AU84:AU85"/>
    <mergeCell ref="AW84:AW85"/>
    <mergeCell ref="AX84:AX85"/>
    <mergeCell ref="BI84:BI85"/>
    <mergeCell ref="BJ84:BJ85"/>
    <mergeCell ref="BK84:BK85"/>
    <mergeCell ref="BN84:BN85"/>
    <mergeCell ref="BO84:BO85"/>
    <mergeCell ref="BI86:BI87"/>
    <mergeCell ref="BJ86:BJ87"/>
    <mergeCell ref="BK86:BK87"/>
    <mergeCell ref="BI88:BK90"/>
    <mergeCell ref="BI91:BJ91"/>
    <mergeCell ref="M70:O72"/>
    <mergeCell ref="Q70:S72"/>
    <mergeCell ref="J1:K2"/>
    <mergeCell ref="L1:L80"/>
    <mergeCell ref="M1:M2"/>
    <mergeCell ref="N1:O2"/>
    <mergeCell ref="P1:P80"/>
    <mergeCell ref="T1:T80"/>
    <mergeCell ref="O3:O4"/>
    <mergeCell ref="M63:O65"/>
    <mergeCell ref="Q63:S65"/>
    <mergeCell ref="M73:N73"/>
    <mergeCell ref="Q73:R73"/>
    <mergeCell ref="M74:O74"/>
    <mergeCell ref="Q74:S74"/>
    <mergeCell ref="J84:J85"/>
    <mergeCell ref="K84:K85"/>
    <mergeCell ref="M84:M85"/>
    <mergeCell ref="N84:N85"/>
    <mergeCell ref="I86:I87"/>
    <mergeCell ref="J86:J87"/>
    <mergeCell ref="M86:M87"/>
    <mergeCell ref="N86:N87"/>
    <mergeCell ref="Q88:S90"/>
    <mergeCell ref="Q91:R91"/>
    <mergeCell ref="Q92:S92"/>
    <mergeCell ref="M68:M69"/>
    <mergeCell ref="N68:N69"/>
    <mergeCell ref="M82:M83"/>
    <mergeCell ref="N82:O83"/>
    <mergeCell ref="M88:O90"/>
    <mergeCell ref="M91:N91"/>
    <mergeCell ref="M92:O92"/>
    <mergeCell ref="M106:O106"/>
    <mergeCell ref="Q106:S106"/>
    <mergeCell ref="CC106:CE106"/>
    <mergeCell ref="BM107:BM108"/>
    <mergeCell ref="BN107:BN108"/>
    <mergeCell ref="BO107:BO108"/>
    <mergeCell ref="BQ107:BQ108"/>
    <mergeCell ref="BR107:BR108"/>
    <mergeCell ref="BS107:BS108"/>
    <mergeCell ref="CE107:CE108"/>
    <mergeCell ref="CC107:CC108"/>
    <mergeCell ref="CD107:CD108"/>
    <mergeCell ref="BM109:BO111"/>
    <mergeCell ref="BQ109:BS111"/>
    <mergeCell ref="BU109:BW111"/>
    <mergeCell ref="BY109:CA111"/>
    <mergeCell ref="BM113:BO113"/>
    <mergeCell ref="BQ113:BS113"/>
    <mergeCell ref="BU113:BW113"/>
    <mergeCell ref="BY113:CA113"/>
    <mergeCell ref="CC113:CE113"/>
    <mergeCell ref="BM114:BM115"/>
    <mergeCell ref="BN114:BN115"/>
    <mergeCell ref="BO114:BO115"/>
    <mergeCell ref="BQ114:BQ115"/>
    <mergeCell ref="BR114:BR115"/>
    <mergeCell ref="BS114:BS115"/>
    <mergeCell ref="BU114:BU115"/>
    <mergeCell ref="BV114:BV115"/>
    <mergeCell ref="BW114:BW115"/>
    <mergeCell ref="BY114:BY115"/>
    <mergeCell ref="BZ114:BZ115"/>
    <mergeCell ref="CA114:CA115"/>
    <mergeCell ref="CC114:CC115"/>
    <mergeCell ref="CD114:CD115"/>
    <mergeCell ref="CE114:CE115"/>
    <mergeCell ref="AK106:AM106"/>
    <mergeCell ref="AL107:AL108"/>
    <mergeCell ref="AM107:AM108"/>
    <mergeCell ref="AK95:AM97"/>
    <mergeCell ref="AK98:AL98"/>
    <mergeCell ref="AK99:AM99"/>
    <mergeCell ref="AL100:AL101"/>
    <mergeCell ref="AM100:AM101"/>
    <mergeCell ref="AK102:AM104"/>
    <mergeCell ref="AK105:AL105"/>
    <mergeCell ref="BB84:BB85"/>
    <mergeCell ref="BC84:BC85"/>
    <mergeCell ref="BE84:BE85"/>
    <mergeCell ref="BF84:BF85"/>
    <mergeCell ref="AX86:AX87"/>
    <mergeCell ref="AY86:AY87"/>
    <mergeCell ref="AY84:AY85"/>
    <mergeCell ref="BA84:BA85"/>
    <mergeCell ref="AL86:AL87"/>
    <mergeCell ref="AM86:AM87"/>
    <mergeCell ref="AO86:AO87"/>
    <mergeCell ref="AP86:AP87"/>
    <mergeCell ref="AQ86:AQ87"/>
    <mergeCell ref="BA86:BA87"/>
    <mergeCell ref="BB86:BB87"/>
    <mergeCell ref="AS86:AS87"/>
    <mergeCell ref="AT86:AT87"/>
    <mergeCell ref="AK88:AM90"/>
    <mergeCell ref="AK91:AL91"/>
    <mergeCell ref="AK92:AM92"/>
    <mergeCell ref="AL93:AL94"/>
    <mergeCell ref="AM93:AM94"/>
    <mergeCell ref="AK113:AM113"/>
    <mergeCell ref="AK114:AK115"/>
    <mergeCell ref="AL114:AL115"/>
    <mergeCell ref="AM114:AM115"/>
    <mergeCell ref="CE121:CE122"/>
    <mergeCell ref="BM123:BO125"/>
    <mergeCell ref="BQ123:BS125"/>
    <mergeCell ref="BU123:BW125"/>
    <mergeCell ref="BY123:CA125"/>
    <mergeCell ref="CC123:CE125"/>
    <mergeCell ref="BM126:BN126"/>
    <mergeCell ref="BQ126:BR126"/>
    <mergeCell ref="BU126:BV126"/>
    <mergeCell ref="BY126:BZ126"/>
    <mergeCell ref="CC126:CD126"/>
    <mergeCell ref="BM127:BO127"/>
    <mergeCell ref="BQ127:BS127"/>
    <mergeCell ref="BU127:BW127"/>
    <mergeCell ref="BY127:CA127"/>
    <mergeCell ref="BV128:BV129"/>
    <mergeCell ref="BW128:BW129"/>
    <mergeCell ref="CC127:CE127"/>
    <mergeCell ref="BM128:BM129"/>
    <mergeCell ref="BN128:BN129"/>
    <mergeCell ref="BO128:BO129"/>
    <mergeCell ref="BQ128:BQ129"/>
    <mergeCell ref="BR128:BR129"/>
    <mergeCell ref="BU128:BU129"/>
    <mergeCell ref="BY128:BY129"/>
    <mergeCell ref="BZ128:BZ129"/>
    <mergeCell ref="CA128:CA129"/>
    <mergeCell ref="CC128:CC129"/>
    <mergeCell ref="CD128:CD129"/>
    <mergeCell ref="CE128:CE129"/>
    <mergeCell ref="BM130:BO132"/>
    <mergeCell ref="BQ130:BS132"/>
    <mergeCell ref="BU130:BW132"/>
    <mergeCell ref="BY130:CA132"/>
    <mergeCell ref="CC130:CE132"/>
    <mergeCell ref="BM133:BN133"/>
    <mergeCell ref="BQ133:BR133"/>
    <mergeCell ref="BU133:BV133"/>
    <mergeCell ref="BY133:BZ133"/>
    <mergeCell ref="CC133:CD133"/>
    <mergeCell ref="BM134:BO134"/>
    <mergeCell ref="BQ134:BS134"/>
    <mergeCell ref="BU134:BW134"/>
    <mergeCell ref="BY134:CA134"/>
    <mergeCell ref="BV135:BV136"/>
    <mergeCell ref="BW135:BW136"/>
    <mergeCell ref="BY135:BY136"/>
    <mergeCell ref="BZ135:BZ136"/>
    <mergeCell ref="CA135:CA136"/>
    <mergeCell ref="CC135:CC136"/>
    <mergeCell ref="CC134:CE134"/>
    <mergeCell ref="BM135:BM136"/>
    <mergeCell ref="BN135:BN136"/>
    <mergeCell ref="BO135:BO136"/>
    <mergeCell ref="BQ135:BQ136"/>
    <mergeCell ref="BR135:BR136"/>
    <mergeCell ref="BU135:BU136"/>
    <mergeCell ref="CD135:CD136"/>
    <mergeCell ref="CE135:CE136"/>
    <mergeCell ref="BM137:BO139"/>
    <mergeCell ref="BQ137:BS139"/>
    <mergeCell ref="BU137:BW139"/>
    <mergeCell ref="BY137:CA139"/>
    <mergeCell ref="CC141:CE141"/>
    <mergeCell ref="BM142:BM143"/>
    <mergeCell ref="BN142:BN143"/>
    <mergeCell ref="BO142:BO143"/>
    <mergeCell ref="BQ142:BQ143"/>
    <mergeCell ref="BR142:BR143"/>
    <mergeCell ref="BU142:BU143"/>
    <mergeCell ref="CD142:CD143"/>
    <mergeCell ref="CE142:CE143"/>
    <mergeCell ref="BM144:BO146"/>
    <mergeCell ref="BQ144:BS146"/>
    <mergeCell ref="BU144:BW146"/>
    <mergeCell ref="BY144:CA146"/>
    <mergeCell ref="BM148:BO148"/>
    <mergeCell ref="BQ148:BS148"/>
    <mergeCell ref="BU148:BW148"/>
    <mergeCell ref="BY148:CA148"/>
    <mergeCell ref="CC148:CE148"/>
    <mergeCell ref="BM149:BM150"/>
    <mergeCell ref="BM151:BO153"/>
    <mergeCell ref="BQ151:BS153"/>
    <mergeCell ref="BM141:BO141"/>
    <mergeCell ref="BQ141:BS141"/>
    <mergeCell ref="BN149:BN150"/>
    <mergeCell ref="BO149:BO150"/>
    <mergeCell ref="BQ149:BQ150"/>
    <mergeCell ref="BR149:BR150"/>
    <mergeCell ref="BU149:BU150"/>
    <mergeCell ref="BT82:BT161"/>
    <mergeCell ref="BS121:BS122"/>
    <mergeCell ref="BS128:BS129"/>
    <mergeCell ref="BS135:BS136"/>
    <mergeCell ref="BS142:BS143"/>
    <mergeCell ref="BS149:BS150"/>
    <mergeCell ref="CC137:CE139"/>
    <mergeCell ref="BM140:BN140"/>
    <mergeCell ref="BQ140:BR140"/>
    <mergeCell ref="BU140:BV140"/>
    <mergeCell ref="BY140:BZ140"/>
    <mergeCell ref="CC140:CD140"/>
    <mergeCell ref="BU141:BW141"/>
    <mergeCell ref="BY141:CA141"/>
    <mergeCell ref="BV142:BV143"/>
    <mergeCell ref="BW142:BW143"/>
    <mergeCell ref="BM158:BO160"/>
    <mergeCell ref="BQ158:BS160"/>
    <mergeCell ref="BU158:BW160"/>
    <mergeCell ref="BM161:BN161"/>
    <mergeCell ref="BQ161:BR161"/>
    <mergeCell ref="BU161:BV161"/>
    <mergeCell ref="CA142:CA143"/>
    <mergeCell ref="CC142:CC143"/>
    <mergeCell ref="BV149:BV150"/>
    <mergeCell ref="BW149:BW150"/>
    <mergeCell ref="BY149:BY150"/>
    <mergeCell ref="BZ149:BZ150"/>
    <mergeCell ref="CA149:CA150"/>
    <mergeCell ref="CC149:CC150"/>
    <mergeCell ref="CD149:CD150"/>
    <mergeCell ref="CE149:CE150"/>
    <mergeCell ref="BY158:CA160"/>
    <mergeCell ref="CC158:CE160"/>
    <mergeCell ref="BY161:BZ161"/>
    <mergeCell ref="CC161:CD161"/>
    <mergeCell ref="BY142:BY143"/>
    <mergeCell ref="BZ142:BZ143"/>
    <mergeCell ref="BZ156:BZ157"/>
    <mergeCell ref="CA156:CA157"/>
    <mergeCell ref="CC156:CC157"/>
    <mergeCell ref="CD156:CD157"/>
    <mergeCell ref="CE156:CE157"/>
    <mergeCell ref="CC151:CE153"/>
    <mergeCell ref="BM154:BN154"/>
    <mergeCell ref="BQ154:BR154"/>
    <mergeCell ref="BU154:BV154"/>
    <mergeCell ref="BY154:BZ154"/>
    <mergeCell ref="CC154:CD154"/>
    <mergeCell ref="BL82:BL161"/>
    <mergeCell ref="BP82:BP161"/>
    <mergeCell ref="BX82:BX161"/>
    <mergeCell ref="CB82:CB161"/>
    <mergeCell ref="CF82:CF161"/>
    <mergeCell ref="CE86:CE87"/>
    <mergeCell ref="CC116:CE118"/>
    <mergeCell ref="CC144:CE146"/>
    <mergeCell ref="BM147:BN147"/>
    <mergeCell ref="BQ147:BR147"/>
    <mergeCell ref="BU147:BV147"/>
    <mergeCell ref="BY147:BZ147"/>
    <mergeCell ref="CC147:CD147"/>
    <mergeCell ref="BU151:BW153"/>
    <mergeCell ref="BY151:CA153"/>
    <mergeCell ref="BM155:BO155"/>
    <mergeCell ref="BQ155:BS155"/>
    <mergeCell ref="BU155:BW155"/>
    <mergeCell ref="BY155:CA155"/>
    <mergeCell ref="BU156:BU157"/>
    <mergeCell ref="BV156:BV157"/>
    <mergeCell ref="CC155:CE155"/>
    <mergeCell ref="BM156:BM157"/>
    <mergeCell ref="BN156:BN157"/>
    <mergeCell ref="BO156:BO157"/>
    <mergeCell ref="BQ156:BQ157"/>
    <mergeCell ref="BR156:BR157"/>
    <mergeCell ref="BS156:BS157"/>
    <mergeCell ref="BW156:BW157"/>
    <mergeCell ref="BY156:BY157"/>
    <mergeCell ref="BQ84:BQ85"/>
    <mergeCell ref="BR84:BR85"/>
    <mergeCell ref="BS84:BS85"/>
    <mergeCell ref="BU84:BU85"/>
    <mergeCell ref="BV84:BV85"/>
    <mergeCell ref="BW84:BW85"/>
    <mergeCell ref="BY84:BY85"/>
    <mergeCell ref="BZ84:BZ85"/>
    <mergeCell ref="CA84:CA85"/>
    <mergeCell ref="CC84:CC85"/>
    <mergeCell ref="CD84:CD85"/>
    <mergeCell ref="CE84:CE85"/>
    <mergeCell ref="BM86:BM87"/>
    <mergeCell ref="BN86:BN87"/>
    <mergeCell ref="BO86:BO87"/>
    <mergeCell ref="BQ86:BQ87"/>
    <mergeCell ref="BR86:BR87"/>
    <mergeCell ref="BS86:BS87"/>
    <mergeCell ref="BU86:BU87"/>
    <mergeCell ref="BV86:BV87"/>
    <mergeCell ref="BW86:BW87"/>
    <mergeCell ref="BY86:BY87"/>
    <mergeCell ref="BZ86:BZ87"/>
    <mergeCell ref="CA86:CA87"/>
    <mergeCell ref="CC86:CC87"/>
    <mergeCell ref="CD86:CD87"/>
    <mergeCell ref="BM84:BM85"/>
    <mergeCell ref="BM88:BO90"/>
    <mergeCell ref="BQ88:BS90"/>
    <mergeCell ref="BU88:BW90"/>
    <mergeCell ref="BY88:CA90"/>
    <mergeCell ref="CC88:CE90"/>
    <mergeCell ref="BM91:BN91"/>
    <mergeCell ref="BQ91:BR91"/>
    <mergeCell ref="BU91:BV91"/>
    <mergeCell ref="BY91:BZ91"/>
    <mergeCell ref="CC91:CD91"/>
    <mergeCell ref="BM92:BO92"/>
    <mergeCell ref="BQ92:BS92"/>
    <mergeCell ref="BU92:BW92"/>
    <mergeCell ref="BY92:CA92"/>
    <mergeCell ref="BU93:BU94"/>
    <mergeCell ref="BV93:BV94"/>
    <mergeCell ref="BW93:BW94"/>
    <mergeCell ref="BY93:BY94"/>
    <mergeCell ref="BZ93:BZ94"/>
    <mergeCell ref="CA93:CA94"/>
    <mergeCell ref="CC92:CE92"/>
    <mergeCell ref="BM93:BM94"/>
    <mergeCell ref="BN93:BN94"/>
    <mergeCell ref="BO93:BO94"/>
    <mergeCell ref="BQ93:BQ94"/>
    <mergeCell ref="BR93:BR94"/>
    <mergeCell ref="BS93:BS94"/>
    <mergeCell ref="CE93:CE94"/>
    <mergeCell ref="CC93:CC94"/>
    <mergeCell ref="CD93:CD94"/>
    <mergeCell ref="BM95:BO97"/>
    <mergeCell ref="BQ95:BS97"/>
    <mergeCell ref="BU95:BW97"/>
    <mergeCell ref="BY95:CA97"/>
    <mergeCell ref="BM99:BO99"/>
    <mergeCell ref="BQ99:BS99"/>
    <mergeCell ref="BU99:BW99"/>
    <mergeCell ref="BY99:CA99"/>
    <mergeCell ref="BU100:BU101"/>
    <mergeCell ref="BV100:BV101"/>
    <mergeCell ref="BW100:BW101"/>
    <mergeCell ref="BY100:BY101"/>
    <mergeCell ref="BZ100:BZ101"/>
    <mergeCell ref="CA100:CA101"/>
    <mergeCell ref="CC99:CE99"/>
    <mergeCell ref="BM100:BM101"/>
    <mergeCell ref="BN100:BN101"/>
    <mergeCell ref="BO100:BO101"/>
    <mergeCell ref="BQ100:BQ101"/>
    <mergeCell ref="BR100:BR101"/>
    <mergeCell ref="BS100:BS101"/>
    <mergeCell ref="CE100:CE101"/>
    <mergeCell ref="CC100:CC101"/>
    <mergeCell ref="CD100:CD101"/>
    <mergeCell ref="BM102:BO104"/>
    <mergeCell ref="BQ102:BS104"/>
    <mergeCell ref="BU102:BW104"/>
    <mergeCell ref="BY102:CA104"/>
    <mergeCell ref="CC95:CE97"/>
    <mergeCell ref="BM98:BN98"/>
    <mergeCell ref="BQ98:BR98"/>
    <mergeCell ref="BU98:BV98"/>
    <mergeCell ref="BY98:BZ98"/>
    <mergeCell ref="CC98:CD98"/>
    <mergeCell ref="CC102:CE104"/>
    <mergeCell ref="BM105:BN105"/>
    <mergeCell ref="BQ105:BR105"/>
    <mergeCell ref="BU105:BV105"/>
    <mergeCell ref="BY105:BZ105"/>
    <mergeCell ref="CC105:CD105"/>
    <mergeCell ref="BM106:BO106"/>
    <mergeCell ref="BQ106:BS106"/>
    <mergeCell ref="BU106:BW106"/>
    <mergeCell ref="BY106:CA106"/>
    <mergeCell ref="BU107:BU108"/>
    <mergeCell ref="BV107:BV108"/>
    <mergeCell ref="BW107:BW108"/>
    <mergeCell ref="BY107:BY108"/>
    <mergeCell ref="BZ107:BZ108"/>
    <mergeCell ref="CA107:CA108"/>
    <mergeCell ref="CC109:CE111"/>
    <mergeCell ref="BM112:BN112"/>
    <mergeCell ref="BQ112:BR112"/>
    <mergeCell ref="BU112:BV112"/>
    <mergeCell ref="BY112:BZ112"/>
    <mergeCell ref="CC112:CD112"/>
    <mergeCell ref="BM116:BO118"/>
    <mergeCell ref="BQ116:BS118"/>
    <mergeCell ref="BU116:BW118"/>
    <mergeCell ref="BY116:CA118"/>
    <mergeCell ref="BU121:BU122"/>
    <mergeCell ref="BV121:BV122"/>
    <mergeCell ref="BW121:BW122"/>
    <mergeCell ref="BY121:BY122"/>
    <mergeCell ref="BZ121:BZ122"/>
    <mergeCell ref="CA121:CA122"/>
    <mergeCell ref="CC121:CC122"/>
    <mergeCell ref="CD121:CD122"/>
    <mergeCell ref="CE26:CE27"/>
    <mergeCell ref="BU28:BW30"/>
    <mergeCell ref="BY28:CA30"/>
    <mergeCell ref="CC28:CE30"/>
    <mergeCell ref="BP1:BP80"/>
    <mergeCell ref="BT1:BT80"/>
    <mergeCell ref="BX1:BX80"/>
    <mergeCell ref="CB1:CB80"/>
    <mergeCell ref="CF1:CF80"/>
    <mergeCell ref="BQ3:BQ4"/>
    <mergeCell ref="BR3:BR4"/>
    <mergeCell ref="BY68:BY69"/>
    <mergeCell ref="BZ68:BZ69"/>
    <mergeCell ref="CA68:CA69"/>
    <mergeCell ref="CC68:CC69"/>
    <mergeCell ref="CD68:CD69"/>
    <mergeCell ref="CE68:CE69"/>
    <mergeCell ref="BQ70:BS72"/>
    <mergeCell ref="BU70:BW72"/>
    <mergeCell ref="BY70:CA72"/>
    <mergeCell ref="CC70:CE72"/>
    <mergeCell ref="BQ73:BR73"/>
    <mergeCell ref="BU73:BV73"/>
    <mergeCell ref="BY73:BZ73"/>
    <mergeCell ref="CC73:CD73"/>
    <mergeCell ref="BC12:BC13"/>
    <mergeCell ref="BE12:BE13"/>
    <mergeCell ref="AT1:AU2"/>
    <mergeCell ref="AS33:AS34"/>
    <mergeCell ref="AT33:AT34"/>
    <mergeCell ref="AU33:AU34"/>
    <mergeCell ref="AW33:AW34"/>
    <mergeCell ref="AX33:AX34"/>
    <mergeCell ref="AY33:AY34"/>
    <mergeCell ref="BA33:BA34"/>
    <mergeCell ref="BB33:BB34"/>
    <mergeCell ref="BC33:BC34"/>
    <mergeCell ref="BE33:BE34"/>
    <mergeCell ref="BF33:BF34"/>
    <mergeCell ref="BJ33:BJ34"/>
    <mergeCell ref="BK33:BK34"/>
    <mergeCell ref="BI60:BK60"/>
    <mergeCell ref="BC61:BC62"/>
    <mergeCell ref="BE61:BE62"/>
    <mergeCell ref="BF61:BF62"/>
    <mergeCell ref="BG61:BG62"/>
    <mergeCell ref="BI61:BI62"/>
    <mergeCell ref="BJ61:BJ62"/>
    <mergeCell ref="BA63:BC65"/>
    <mergeCell ref="BE63:BG65"/>
    <mergeCell ref="BI63:BK65"/>
    <mergeCell ref="BE66:BF66"/>
    <mergeCell ref="BI66:BJ66"/>
    <mergeCell ref="BA67:BC67"/>
    <mergeCell ref="BE67:BG67"/>
    <mergeCell ref="BI67:BK67"/>
    <mergeCell ref="BC68:BC69"/>
    <mergeCell ref="BE68:BE69"/>
    <mergeCell ref="BF68:BF69"/>
    <mergeCell ref="BG68:BG69"/>
    <mergeCell ref="BI68:BI69"/>
    <mergeCell ref="BJ68:BJ69"/>
    <mergeCell ref="BK68:BK69"/>
    <mergeCell ref="BA70:BC72"/>
    <mergeCell ref="BE70:BG72"/>
    <mergeCell ref="BI70:BK72"/>
    <mergeCell ref="BE73:BF73"/>
    <mergeCell ref="BI73:BJ73"/>
    <mergeCell ref="AV1:AV80"/>
    <mergeCell ref="AZ1:AZ80"/>
    <mergeCell ref="BD1:BD80"/>
    <mergeCell ref="BH1:BH80"/>
    <mergeCell ref="BL1:BL80"/>
    <mergeCell ref="BK3:BK4"/>
    <mergeCell ref="BK12:BK13"/>
    <mergeCell ref="BG33:BG34"/>
    <mergeCell ref="BI33:BI34"/>
    <mergeCell ref="BI56:BK58"/>
    <mergeCell ref="BM56:BO58"/>
    <mergeCell ref="AS56:AU58"/>
    <mergeCell ref="AS59:AT59"/>
    <mergeCell ref="BE59:BF59"/>
    <mergeCell ref="BI59:BJ59"/>
    <mergeCell ref="BN54:BN55"/>
    <mergeCell ref="BO54:BO55"/>
    <mergeCell ref="AO56:AQ58"/>
    <mergeCell ref="AW56:AY58"/>
    <mergeCell ref="BA56:BC58"/>
    <mergeCell ref="BE56:BG58"/>
    <mergeCell ref="AO59:AP59"/>
    <mergeCell ref="BM59:BN59"/>
    <mergeCell ref="BA60:BC60"/>
    <mergeCell ref="BE60:BG60"/>
    <mergeCell ref="BM60:BO60"/>
    <mergeCell ref="BM68:BM69"/>
    <mergeCell ref="BN68:BN69"/>
    <mergeCell ref="BO68:BO69"/>
    <mergeCell ref="BM70:BO72"/>
    <mergeCell ref="BM73:BN73"/>
    <mergeCell ref="BK61:BK62"/>
    <mergeCell ref="BM61:BM62"/>
    <mergeCell ref="BN61:BN62"/>
    <mergeCell ref="BO61:BO62"/>
    <mergeCell ref="BM63:BO65"/>
    <mergeCell ref="BM66:BN66"/>
    <mergeCell ref="BM67:BO67"/>
    <mergeCell ref="AQ61:AQ62"/>
    <mergeCell ref="AS61:AS62"/>
    <mergeCell ref="AO63:AQ65"/>
    <mergeCell ref="AS63:AU65"/>
    <mergeCell ref="AO66:AP66"/>
    <mergeCell ref="AS66:AT66"/>
    <mergeCell ref="AS67:AU67"/>
    <mergeCell ref="AO67:AQ67"/>
    <mergeCell ref="AO68:AO69"/>
    <mergeCell ref="AP68:AP69"/>
    <mergeCell ref="AQ68:AQ69"/>
    <mergeCell ref="AS68:AS69"/>
    <mergeCell ref="AT68:AT69"/>
    <mergeCell ref="AU68:AU69"/>
    <mergeCell ref="AT61:AT62"/>
    <mergeCell ref="AU61:AU62"/>
    <mergeCell ref="AW61:AW62"/>
    <mergeCell ref="AX61:AX62"/>
    <mergeCell ref="AW63:AY65"/>
    <mergeCell ref="AW66:AX66"/>
    <mergeCell ref="AW67:AY67"/>
    <mergeCell ref="AY61:AY62"/>
    <mergeCell ref="BA61:BA62"/>
    <mergeCell ref="BA66:BB66"/>
    <mergeCell ref="AW59:AX59"/>
    <mergeCell ref="BA59:BB59"/>
    <mergeCell ref="AO60:AQ60"/>
    <mergeCell ref="AS60:AU60"/>
    <mergeCell ref="AW60:AY60"/>
    <mergeCell ref="AO61:AO62"/>
    <mergeCell ref="AP61:AP62"/>
    <mergeCell ref="BB61:BB62"/>
    <mergeCell ref="AW68:AW69"/>
    <mergeCell ref="AX68:AX69"/>
    <mergeCell ref="AY68:AY69"/>
    <mergeCell ref="BA68:BA69"/>
    <mergeCell ref="BB68:BB69"/>
    <mergeCell ref="AO70:AQ72"/>
    <mergeCell ref="AS70:AU72"/>
    <mergeCell ref="AW70:AY72"/>
    <mergeCell ref="AO73:AP73"/>
    <mergeCell ref="AS73:AT73"/>
    <mergeCell ref="AW73:AX73"/>
    <mergeCell ref="BA73:BB73"/>
    <mergeCell ref="E81:CI81"/>
    <mergeCell ref="CD82:CE83"/>
    <mergeCell ref="CG82:CG83"/>
    <mergeCell ref="CH82:CI83"/>
    <mergeCell ref="BQ82:BQ83"/>
    <mergeCell ref="BR82:BS83"/>
    <mergeCell ref="BU82:BU83"/>
    <mergeCell ref="BV82:BW83"/>
    <mergeCell ref="BY82:BY83"/>
    <mergeCell ref="BZ82:CA83"/>
    <mergeCell ref="CC82:CC83"/>
    <mergeCell ref="AO82:AO83"/>
    <mergeCell ref="AP82:AQ83"/>
    <mergeCell ref="AS82:AS83"/>
    <mergeCell ref="AT82:AU83"/>
    <mergeCell ref="AW82:AW83"/>
    <mergeCell ref="AX82:AY83"/>
    <mergeCell ref="BA82:BA83"/>
    <mergeCell ref="BB82:BC83"/>
    <mergeCell ref="BE82:BE83"/>
    <mergeCell ref="BF82:BG83"/>
    <mergeCell ref="BI82:BI83"/>
    <mergeCell ref="BJ82:BK83"/>
    <mergeCell ref="BM82:BM83"/>
    <mergeCell ref="BN82:BO83"/>
    <mergeCell ref="CG84:CG85"/>
    <mergeCell ref="CH84:CH85"/>
    <mergeCell ref="CI84:CI85"/>
    <mergeCell ref="CG86:CG87"/>
    <mergeCell ref="CH86:CH87"/>
    <mergeCell ref="CI86:CI87"/>
    <mergeCell ref="CG88:CI90"/>
    <mergeCell ref="CG91:CH91"/>
    <mergeCell ref="CG92:CI92"/>
    <mergeCell ref="CG93:CG94"/>
    <mergeCell ref="CH93:CH94"/>
    <mergeCell ref="CI93:CI94"/>
    <mergeCell ref="CG95:CI97"/>
    <mergeCell ref="CG98:CH98"/>
    <mergeCell ref="CG99:CI99"/>
    <mergeCell ref="CG100:CG101"/>
    <mergeCell ref="CH100:CH101"/>
    <mergeCell ref="CI100:CI101"/>
    <mergeCell ref="CG102:CI104"/>
    <mergeCell ref="CG105:CH105"/>
    <mergeCell ref="CG106:CI106"/>
    <mergeCell ref="CG107:CG108"/>
    <mergeCell ref="CH107:CH108"/>
    <mergeCell ref="CI107:CI108"/>
    <mergeCell ref="CG109:CI111"/>
    <mergeCell ref="CG112:CH112"/>
    <mergeCell ref="CG113:CI113"/>
    <mergeCell ref="CG114:CG115"/>
    <mergeCell ref="CG116:CI118"/>
    <mergeCell ref="BI119:BJ119"/>
    <mergeCell ref="BM119:BN119"/>
    <mergeCell ref="BY119:BZ119"/>
    <mergeCell ref="CC119:CD119"/>
    <mergeCell ref="CH114:CH115"/>
    <mergeCell ref="CI114:CI115"/>
    <mergeCell ref="AO119:AP119"/>
    <mergeCell ref="AS119:AT119"/>
    <mergeCell ref="AW119:AX119"/>
    <mergeCell ref="BA119:BB119"/>
    <mergeCell ref="BE119:BF119"/>
    <mergeCell ref="CG119:CH119"/>
    <mergeCell ref="AC120:AE120"/>
    <mergeCell ref="AG120:AI120"/>
    <mergeCell ref="AK120:AM120"/>
    <mergeCell ref="AO120:AQ120"/>
    <mergeCell ref="AS120:AU120"/>
    <mergeCell ref="AW120:AY120"/>
    <mergeCell ref="BA120:BC120"/>
    <mergeCell ref="BE120:BG120"/>
    <mergeCell ref="BQ120:BS120"/>
    <mergeCell ref="BU120:BW120"/>
    <mergeCell ref="BY120:CA120"/>
    <mergeCell ref="CC120:CE120"/>
    <mergeCell ref="CG120:CI120"/>
    <mergeCell ref="AW126:AX126"/>
    <mergeCell ref="BA126:BB126"/>
    <mergeCell ref="BE126:BF126"/>
    <mergeCell ref="AO127:AQ127"/>
    <mergeCell ref="AS127:AU127"/>
    <mergeCell ref="AW127:AY127"/>
    <mergeCell ref="BA127:BC127"/>
    <mergeCell ref="AW128:AW129"/>
    <mergeCell ref="AX128:AX129"/>
    <mergeCell ref="AY128:AY129"/>
    <mergeCell ref="BA128:BA129"/>
    <mergeCell ref="BB128:BB129"/>
    <mergeCell ref="BC128:BC129"/>
    <mergeCell ref="BE127:BG127"/>
    <mergeCell ref="AO128:AO129"/>
    <mergeCell ref="AP128:AP129"/>
    <mergeCell ref="AQ128:AQ129"/>
    <mergeCell ref="AS128:AS129"/>
    <mergeCell ref="AT128:AT129"/>
    <mergeCell ref="AU128:AU129"/>
    <mergeCell ref="BE128:BE129"/>
    <mergeCell ref="BF128:BF129"/>
    <mergeCell ref="AU135:AU136"/>
    <mergeCell ref="AW135:AW136"/>
    <mergeCell ref="AX135:AX136"/>
    <mergeCell ref="AY135:AY136"/>
    <mergeCell ref="BA135:BA136"/>
    <mergeCell ref="BB135:BB136"/>
    <mergeCell ref="BC135:BC136"/>
    <mergeCell ref="BE135:BE136"/>
    <mergeCell ref="BF135:BF136"/>
    <mergeCell ref="BG135:BG136"/>
    <mergeCell ref="AO137:AQ139"/>
    <mergeCell ref="AS137:AU139"/>
    <mergeCell ref="AW137:AY139"/>
    <mergeCell ref="BA137:BC139"/>
    <mergeCell ref="BE116:BG118"/>
    <mergeCell ref="AO123:AQ125"/>
    <mergeCell ref="AS123:AU125"/>
    <mergeCell ref="AW123:AY125"/>
    <mergeCell ref="BA123:BC125"/>
    <mergeCell ref="BE123:BG125"/>
    <mergeCell ref="BE137:BG139"/>
    <mergeCell ref="AO140:AP140"/>
    <mergeCell ref="AS140:AT140"/>
    <mergeCell ref="AW140:AX140"/>
    <mergeCell ref="BA140:BB140"/>
    <mergeCell ref="BE140:BF140"/>
    <mergeCell ref="AO141:AQ141"/>
    <mergeCell ref="AS141:AU141"/>
    <mergeCell ref="AW141:AY141"/>
    <mergeCell ref="BA141:BC141"/>
    <mergeCell ref="AW142:AW143"/>
    <mergeCell ref="AX142:AX143"/>
    <mergeCell ref="AY142:AY143"/>
    <mergeCell ref="BA142:BA143"/>
    <mergeCell ref="BB142:BB143"/>
    <mergeCell ref="BC142:BC143"/>
    <mergeCell ref="BE141:BG141"/>
    <mergeCell ref="AO142:AO143"/>
    <mergeCell ref="AP142:AP143"/>
    <mergeCell ref="AQ142:AQ143"/>
    <mergeCell ref="AS142:AS143"/>
    <mergeCell ref="AT142:AT143"/>
    <mergeCell ref="AU142:AU143"/>
    <mergeCell ref="BG142:BG143"/>
    <mergeCell ref="BE142:BE143"/>
    <mergeCell ref="BF142:BF143"/>
    <mergeCell ref="AO144:AQ146"/>
    <mergeCell ref="AS144:AU146"/>
    <mergeCell ref="AW144:AY146"/>
    <mergeCell ref="BA144:BC146"/>
    <mergeCell ref="AO148:AQ148"/>
    <mergeCell ref="AS148:AU148"/>
    <mergeCell ref="AW148:AY148"/>
    <mergeCell ref="BA148:BC148"/>
    <mergeCell ref="BE148:BG148"/>
    <mergeCell ref="AO149:AO150"/>
    <mergeCell ref="AP149:AP150"/>
    <mergeCell ref="AQ149:AQ150"/>
    <mergeCell ref="AS149:AS150"/>
    <mergeCell ref="AT149:AT150"/>
    <mergeCell ref="AU149:AU150"/>
    <mergeCell ref="AW149:AW150"/>
    <mergeCell ref="AX149:AX150"/>
    <mergeCell ref="AY149:AY150"/>
    <mergeCell ref="BA149:BA150"/>
    <mergeCell ref="BB149:BB150"/>
    <mergeCell ref="BC149:BC150"/>
    <mergeCell ref="BE149:BE150"/>
    <mergeCell ref="BF149:BF150"/>
    <mergeCell ref="BG149:BG150"/>
    <mergeCell ref="AY156:AY157"/>
    <mergeCell ref="BA156:BA157"/>
    <mergeCell ref="BB156:BB157"/>
    <mergeCell ref="BC156:BC157"/>
    <mergeCell ref="BE155:BG155"/>
    <mergeCell ref="AO156:AO157"/>
    <mergeCell ref="AP156:AP157"/>
    <mergeCell ref="AQ156:AQ157"/>
    <mergeCell ref="AS156:AS157"/>
    <mergeCell ref="AT156:AT157"/>
    <mergeCell ref="AU156:AU157"/>
    <mergeCell ref="BG156:BG157"/>
    <mergeCell ref="BE156:BE157"/>
    <mergeCell ref="BF156:BF157"/>
    <mergeCell ref="AO158:AQ160"/>
    <mergeCell ref="AS158:AU160"/>
    <mergeCell ref="AW158:AY160"/>
    <mergeCell ref="BA158:BC160"/>
    <mergeCell ref="BE158:BG160"/>
    <mergeCell ref="AO161:AP161"/>
    <mergeCell ref="AS161:AT161"/>
    <mergeCell ref="AW161:AX161"/>
    <mergeCell ref="BA161:BB161"/>
    <mergeCell ref="BE161:BF161"/>
    <mergeCell ref="AN82:AN161"/>
    <mergeCell ref="AR82:AR161"/>
    <mergeCell ref="AV82:AV161"/>
    <mergeCell ref="AZ82:AZ161"/>
    <mergeCell ref="BD82:BD161"/>
    <mergeCell ref="BH82:BH161"/>
    <mergeCell ref="BG84:BG85"/>
    <mergeCell ref="BE144:BG146"/>
    <mergeCell ref="AO147:AP147"/>
    <mergeCell ref="AS147:AT147"/>
    <mergeCell ref="AW147:AX147"/>
    <mergeCell ref="BA147:BB147"/>
    <mergeCell ref="BE147:BF147"/>
    <mergeCell ref="AO151:AQ153"/>
    <mergeCell ref="AS151:AU153"/>
    <mergeCell ref="AW151:AY153"/>
    <mergeCell ref="BA151:BC153"/>
    <mergeCell ref="BE151:BG153"/>
    <mergeCell ref="AO154:AP154"/>
    <mergeCell ref="AS154:AT154"/>
    <mergeCell ref="AW154:AX154"/>
    <mergeCell ref="BA154:BB154"/>
    <mergeCell ref="BE154:BF154"/>
    <mergeCell ref="AO155:AQ155"/>
    <mergeCell ref="AS155:AU155"/>
    <mergeCell ref="AW155:AY155"/>
    <mergeCell ref="BA155:BC155"/>
    <mergeCell ref="AW156:AW157"/>
    <mergeCell ref="AX156:AX157"/>
    <mergeCell ref="K86:K87"/>
    <mergeCell ref="I88:K90"/>
    <mergeCell ref="I91:J91"/>
    <mergeCell ref="I92:K92"/>
    <mergeCell ref="I93:I94"/>
    <mergeCell ref="J93:J94"/>
    <mergeCell ref="K93:K94"/>
    <mergeCell ref="I95:K97"/>
    <mergeCell ref="I98:J98"/>
    <mergeCell ref="I99:K99"/>
    <mergeCell ref="I100:I101"/>
    <mergeCell ref="J100:J101"/>
    <mergeCell ref="I105:J105"/>
    <mergeCell ref="I106:K106"/>
    <mergeCell ref="I128:I129"/>
    <mergeCell ref="J128:J129"/>
    <mergeCell ref="K128:K129"/>
    <mergeCell ref="I130:K132"/>
    <mergeCell ref="I133:J133"/>
    <mergeCell ref="I134:K134"/>
    <mergeCell ref="I135:I136"/>
    <mergeCell ref="J135:J136"/>
    <mergeCell ref="K135:K136"/>
    <mergeCell ref="I137:K139"/>
    <mergeCell ref="I140:J140"/>
    <mergeCell ref="I141:K141"/>
    <mergeCell ref="I142:I143"/>
    <mergeCell ref="J142:J143"/>
    <mergeCell ref="Q100:Q101"/>
    <mergeCell ref="O107:O108"/>
    <mergeCell ref="Q107:Q108"/>
    <mergeCell ref="O156:O157"/>
    <mergeCell ref="Q156:Q157"/>
    <mergeCell ref="O68:O69"/>
    <mergeCell ref="Q68:Q69"/>
    <mergeCell ref="P82:P161"/>
    <mergeCell ref="Q82:Q83"/>
    <mergeCell ref="Q84:Q85"/>
    <mergeCell ref="Q86:Q87"/>
    <mergeCell ref="Q93:Q94"/>
    <mergeCell ref="O86:O87"/>
    <mergeCell ref="O93:O94"/>
    <mergeCell ref="O84:O85"/>
    <mergeCell ref="O100:O101"/>
    <mergeCell ref="O114:O115"/>
    <mergeCell ref="Q114:Q115"/>
    <mergeCell ref="O128:O129"/>
    <mergeCell ref="Q128:Q129"/>
    <mergeCell ref="O135:O136"/>
    <mergeCell ref="Q135:Q136"/>
    <mergeCell ref="O142:O143"/>
    <mergeCell ref="Q142:Q143"/>
    <mergeCell ref="O149:O150"/>
    <mergeCell ref="Q149:Q150"/>
    <mergeCell ref="BI141:BK141"/>
    <mergeCell ref="BI142:BI143"/>
    <mergeCell ref="BJ142:BJ143"/>
    <mergeCell ref="BK142:BK143"/>
    <mergeCell ref="BI144:BK146"/>
    <mergeCell ref="BI147:BJ147"/>
    <mergeCell ref="BI148:BK148"/>
    <mergeCell ref="BJ156:BJ157"/>
    <mergeCell ref="BK156:BK157"/>
    <mergeCell ref="BI158:BK160"/>
    <mergeCell ref="BI161:BJ161"/>
    <mergeCell ref="BI149:BI150"/>
    <mergeCell ref="BJ149:BJ150"/>
    <mergeCell ref="BK149:BK150"/>
    <mergeCell ref="BI151:BK153"/>
    <mergeCell ref="BI154:BJ154"/>
    <mergeCell ref="BI155:BK155"/>
    <mergeCell ref="BI156:BI157"/>
    <mergeCell ref="BI92:BK92"/>
    <mergeCell ref="BI93:BI94"/>
    <mergeCell ref="BJ93:BJ94"/>
    <mergeCell ref="BK93:BK94"/>
    <mergeCell ref="BI95:BK97"/>
    <mergeCell ref="BI98:BJ98"/>
    <mergeCell ref="BI99:BK99"/>
    <mergeCell ref="BJ107:BJ108"/>
    <mergeCell ref="BK107:BK108"/>
    <mergeCell ref="BI100:BI101"/>
    <mergeCell ref="BJ100:BJ101"/>
    <mergeCell ref="BK100:BK101"/>
    <mergeCell ref="BI102:BK104"/>
    <mergeCell ref="BI105:BJ105"/>
    <mergeCell ref="BI106:BK106"/>
    <mergeCell ref="BI107:BI108"/>
    <mergeCell ref="BI109:BK111"/>
    <mergeCell ref="BI112:BJ112"/>
    <mergeCell ref="BI113:BK113"/>
    <mergeCell ref="BI114:BI115"/>
    <mergeCell ref="BJ114:BJ115"/>
    <mergeCell ref="BK114:BK115"/>
    <mergeCell ref="BI116:BK118"/>
    <mergeCell ref="BI123:BK125"/>
    <mergeCell ref="BI126:BJ126"/>
    <mergeCell ref="BI127:BK127"/>
    <mergeCell ref="BG128:BG129"/>
    <mergeCell ref="BI128:BI129"/>
    <mergeCell ref="BJ128:BJ129"/>
    <mergeCell ref="BK128:BK129"/>
    <mergeCell ref="BA130:BC132"/>
    <mergeCell ref="BE130:BG132"/>
    <mergeCell ref="BI130:BK132"/>
    <mergeCell ref="BA133:BB133"/>
    <mergeCell ref="BE133:BF133"/>
    <mergeCell ref="BI133:BJ133"/>
    <mergeCell ref="BA134:BC134"/>
    <mergeCell ref="BE134:BG134"/>
    <mergeCell ref="BI134:BK134"/>
    <mergeCell ref="BI135:BI136"/>
    <mergeCell ref="BJ135:BJ136"/>
    <mergeCell ref="BK135:BK136"/>
    <mergeCell ref="BI137:BK139"/>
    <mergeCell ref="BI140:BJ140"/>
    <mergeCell ref="AT163:AU164"/>
    <mergeCell ref="AW163:AW164"/>
    <mergeCell ref="AC163:AC164"/>
    <mergeCell ref="AD163:AE164"/>
    <mergeCell ref="AK163:AK164"/>
    <mergeCell ref="AL163:AM164"/>
    <mergeCell ref="AO163:AO164"/>
    <mergeCell ref="AP163:AQ164"/>
    <mergeCell ref="AS163:AS164"/>
    <mergeCell ref="BA163:BA164"/>
    <mergeCell ref="BB163:BC164"/>
    <mergeCell ref="BE163:BE164"/>
    <mergeCell ref="BF163:BG164"/>
    <mergeCell ref="BI163:BI164"/>
    <mergeCell ref="BJ163:BK164"/>
    <mergeCell ref="BM163:BM164"/>
    <mergeCell ref="BN163:BO164"/>
    <mergeCell ref="BQ163:BQ164"/>
    <mergeCell ref="BR163:BS164"/>
    <mergeCell ref="BU163:BU164"/>
    <mergeCell ref="BV163:BW164"/>
    <mergeCell ref="BY163:BY164"/>
    <mergeCell ref="BZ163:CA164"/>
    <mergeCell ref="BC167:BC168"/>
    <mergeCell ref="BE167:BE168"/>
    <mergeCell ref="AT167:AT168"/>
    <mergeCell ref="AU167:AU168"/>
    <mergeCell ref="AW167:AW168"/>
    <mergeCell ref="AX167:AX168"/>
    <mergeCell ref="AY167:AY168"/>
    <mergeCell ref="BA167:BA168"/>
    <mergeCell ref="BB167:BB168"/>
    <mergeCell ref="BO167:BO168"/>
    <mergeCell ref="BQ167:BQ168"/>
    <mergeCell ref="BF167:BF168"/>
    <mergeCell ref="BG167:BG168"/>
    <mergeCell ref="BI167:BI168"/>
    <mergeCell ref="BJ167:BJ168"/>
    <mergeCell ref="BK167:BK168"/>
    <mergeCell ref="BM167:BM168"/>
    <mergeCell ref="BN167:BN168"/>
    <mergeCell ref="BZ167:BZ168"/>
    <mergeCell ref="CA167:CA168"/>
    <mergeCell ref="BV165:BV166"/>
    <mergeCell ref="BR167:BR168"/>
    <mergeCell ref="BS167:BS168"/>
    <mergeCell ref="BU167:BU168"/>
    <mergeCell ref="BV167:BV168"/>
    <mergeCell ref="BW167:BW168"/>
    <mergeCell ref="BY167:BY168"/>
    <mergeCell ref="CH167:CH168"/>
    <mergeCell ref="CI167:CI168"/>
    <mergeCell ref="CC165:CC166"/>
    <mergeCell ref="CD165:CD166"/>
    <mergeCell ref="CH165:CH166"/>
    <mergeCell ref="CI165:CI166"/>
    <mergeCell ref="CC167:CC168"/>
    <mergeCell ref="CD167:CD168"/>
    <mergeCell ref="CE167:CE168"/>
    <mergeCell ref="CG163:CG164"/>
    <mergeCell ref="CH163:CI164"/>
    <mergeCell ref="CG156:CG157"/>
    <mergeCell ref="CH156:CH157"/>
    <mergeCell ref="CI156:CI157"/>
    <mergeCell ref="CG158:CI160"/>
    <mergeCell ref="CG161:CH161"/>
    <mergeCell ref="E162:CI162"/>
    <mergeCell ref="AX163:AY164"/>
    <mergeCell ref="M167:M168"/>
    <mergeCell ref="N167:N168"/>
    <mergeCell ref="O167:O168"/>
    <mergeCell ref="Q167:Q168"/>
    <mergeCell ref="R167:R168"/>
    <mergeCell ref="S167:S168"/>
    <mergeCell ref="U167:U168"/>
    <mergeCell ref="AE165:AE166"/>
    <mergeCell ref="AG165:AG166"/>
    <mergeCell ref="AH165:AH166"/>
    <mergeCell ref="AI165:AI166"/>
    <mergeCell ref="AK165:AK166"/>
    <mergeCell ref="AL165:AL166"/>
    <mergeCell ref="AM165:AM166"/>
    <mergeCell ref="AO165:AO166"/>
    <mergeCell ref="AP165:AP166"/>
    <mergeCell ref="AQ165:AQ166"/>
    <mergeCell ref="AS165:AS166"/>
    <mergeCell ref="AT165:AT166"/>
    <mergeCell ref="AU165:AU166"/>
    <mergeCell ref="AW165:AW166"/>
    <mergeCell ref="CC163:CC164"/>
    <mergeCell ref="CD163:CE164"/>
    <mergeCell ref="BW165:BW166"/>
    <mergeCell ref="BY165:BY166"/>
    <mergeCell ref="BZ165:BZ166"/>
    <mergeCell ref="CA165:CA166"/>
    <mergeCell ref="CE165:CE166"/>
    <mergeCell ref="CG165:CG166"/>
    <mergeCell ref="CG167:CG168"/>
    <mergeCell ref="BI120:BK120"/>
    <mergeCell ref="BM120:BO120"/>
    <mergeCell ref="BQ119:BR119"/>
    <mergeCell ref="BU119:BV119"/>
    <mergeCell ref="I120:K120"/>
    <mergeCell ref="M120:O120"/>
    <mergeCell ref="Q120:S120"/>
    <mergeCell ref="U120:W120"/>
    <mergeCell ref="Y120:AA120"/>
    <mergeCell ref="M121:M122"/>
    <mergeCell ref="N121:N122"/>
    <mergeCell ref="O121:O122"/>
    <mergeCell ref="Q121:Q122"/>
    <mergeCell ref="R121:R122"/>
    <mergeCell ref="S121:S122"/>
    <mergeCell ref="U121:U122"/>
    <mergeCell ref="V121:V122"/>
    <mergeCell ref="W121:W122"/>
    <mergeCell ref="Y121:Y122"/>
    <mergeCell ref="Z121:Z122"/>
    <mergeCell ref="AA121:AA122"/>
    <mergeCell ref="AC121:AC122"/>
    <mergeCell ref="AD121:AD122"/>
    <mergeCell ref="AE121:AE122"/>
    <mergeCell ref="AG121:AG122"/>
    <mergeCell ref="AH121:AH122"/>
    <mergeCell ref="AI121:AI122"/>
    <mergeCell ref="AK121:AK122"/>
    <mergeCell ref="AL121:AL122"/>
    <mergeCell ref="AM121:AM122"/>
    <mergeCell ref="AO121:AO122"/>
    <mergeCell ref="AP121:AP122"/>
    <mergeCell ref="AQ121:AQ122"/>
    <mergeCell ref="AS121:AS122"/>
    <mergeCell ref="AT121:AT122"/>
    <mergeCell ref="AU121:AU122"/>
    <mergeCell ref="AW121:AW122"/>
    <mergeCell ref="BQ121:BQ122"/>
    <mergeCell ref="BR121:BR122"/>
    <mergeCell ref="AX121:AX122"/>
    <mergeCell ref="AY121:AY122"/>
    <mergeCell ref="BA121:BA122"/>
    <mergeCell ref="BB121:BB122"/>
    <mergeCell ref="BC121:BC122"/>
    <mergeCell ref="BE121:BE122"/>
    <mergeCell ref="BF121:BF122"/>
    <mergeCell ref="BG121:BG122"/>
    <mergeCell ref="BI121:BI122"/>
    <mergeCell ref="BJ121:BJ122"/>
    <mergeCell ref="BK121:BK122"/>
    <mergeCell ref="BM121:BM122"/>
    <mergeCell ref="BN121:BN122"/>
    <mergeCell ref="BO121:BO122"/>
    <mergeCell ref="CH128:CH129"/>
    <mergeCell ref="CI128:CI129"/>
    <mergeCell ref="CG121:CG122"/>
    <mergeCell ref="CH121:CH122"/>
    <mergeCell ref="CI121:CI122"/>
    <mergeCell ref="CG123:CI125"/>
    <mergeCell ref="CG126:CH126"/>
    <mergeCell ref="CG127:CI127"/>
    <mergeCell ref="CG128:CG129"/>
    <mergeCell ref="CG130:CI132"/>
    <mergeCell ref="CG133:CH133"/>
    <mergeCell ref="CG134:CI134"/>
    <mergeCell ref="CG135:CG136"/>
    <mergeCell ref="CH135:CH136"/>
    <mergeCell ref="CI135:CI136"/>
    <mergeCell ref="CG137:CI139"/>
    <mergeCell ref="CG140:CH140"/>
    <mergeCell ref="CG141:CI141"/>
    <mergeCell ref="CG142:CG143"/>
    <mergeCell ref="CH142:CH143"/>
    <mergeCell ref="CI142:CI143"/>
    <mergeCell ref="CG144:CI146"/>
    <mergeCell ref="CG147:CH147"/>
    <mergeCell ref="CG148:CI148"/>
    <mergeCell ref="CG149:CG150"/>
    <mergeCell ref="CH149:CH150"/>
    <mergeCell ref="CI149:CI150"/>
    <mergeCell ref="CG151:CI153"/>
    <mergeCell ref="CG154:CH154"/>
    <mergeCell ref="CG155:CI155"/>
    <mergeCell ref="BG165:BG166"/>
    <mergeCell ref="BI165:BI166"/>
    <mergeCell ref="AX165:AX166"/>
    <mergeCell ref="AY165:AY166"/>
    <mergeCell ref="BA165:BA166"/>
    <mergeCell ref="BB165:BB166"/>
    <mergeCell ref="BC165:BC166"/>
    <mergeCell ref="BE165:BE166"/>
    <mergeCell ref="BF165:BF166"/>
    <mergeCell ref="BS165:BS166"/>
    <mergeCell ref="BU165:BU166"/>
    <mergeCell ref="BJ165:BJ166"/>
    <mergeCell ref="BK165:BK166"/>
    <mergeCell ref="BM165:BM166"/>
    <mergeCell ref="BN165:BN166"/>
    <mergeCell ref="BO165:BO166"/>
    <mergeCell ref="BQ165:BQ166"/>
    <mergeCell ref="BR165:BR166"/>
    <mergeCell ref="V165:V166"/>
    <mergeCell ref="W165:W166"/>
    <mergeCell ref="Y165:Y166"/>
    <mergeCell ref="Z165:Z166"/>
    <mergeCell ref="AA165:AA166"/>
    <mergeCell ref="AC165:AC166"/>
    <mergeCell ref="AD165:AD166"/>
    <mergeCell ref="M165:M166"/>
    <mergeCell ref="N165:N166"/>
    <mergeCell ref="O165:O166"/>
    <mergeCell ref="Q165:Q166"/>
    <mergeCell ref="R165:R166"/>
    <mergeCell ref="S165:S166"/>
    <mergeCell ref="U165:U166"/>
    <mergeCell ref="AQ167:AQ168"/>
    <mergeCell ref="AS167:AS168"/>
    <mergeCell ref="AH167:AH168"/>
    <mergeCell ref="AI167:AI168"/>
    <mergeCell ref="AK167:AK168"/>
    <mergeCell ref="AL167:AL168"/>
    <mergeCell ref="AM167:AM168"/>
    <mergeCell ref="AO167:AO168"/>
    <mergeCell ref="AP167:AP168"/>
    <mergeCell ref="V174:V175"/>
    <mergeCell ref="W174:W175"/>
    <mergeCell ref="Y174:Y175"/>
    <mergeCell ref="Z174:Z175"/>
    <mergeCell ref="AA174:AA175"/>
    <mergeCell ref="AC174:AC175"/>
    <mergeCell ref="AD174:AD175"/>
    <mergeCell ref="CG174:CG175"/>
    <mergeCell ref="CH174:CH175"/>
    <mergeCell ref="CI174:CI175"/>
    <mergeCell ref="AE174:AE175"/>
    <mergeCell ref="AG174:AG175"/>
    <mergeCell ref="AH174:AH175"/>
    <mergeCell ref="AI174:AI175"/>
    <mergeCell ref="AK174:AK175"/>
    <mergeCell ref="AL174:AL175"/>
    <mergeCell ref="AM174:AM175"/>
    <mergeCell ref="BO181:BO182"/>
    <mergeCell ref="AS183:AU185"/>
    <mergeCell ref="AW183:AY185"/>
    <mergeCell ref="BA183:BC185"/>
    <mergeCell ref="BE183:BG185"/>
    <mergeCell ref="BI183:BK185"/>
    <mergeCell ref="BM183:BO185"/>
    <mergeCell ref="AR163:AR242"/>
    <mergeCell ref="AV163:AV242"/>
    <mergeCell ref="AZ163:AZ242"/>
    <mergeCell ref="BD163:BD242"/>
    <mergeCell ref="BH163:BH242"/>
    <mergeCell ref="BL163:BL242"/>
    <mergeCell ref="BP163:BP242"/>
    <mergeCell ref="BO174:BO175"/>
    <mergeCell ref="AS176:AU178"/>
    <mergeCell ref="AW176:AY178"/>
    <mergeCell ref="BA176:BC178"/>
    <mergeCell ref="BE176:BG178"/>
    <mergeCell ref="BI176:BK178"/>
    <mergeCell ref="BM176:BO178"/>
    <mergeCell ref="BJ181:BJ182"/>
    <mergeCell ref="BK181:BK182"/>
    <mergeCell ref="BM181:BM182"/>
    <mergeCell ref="BN181:BN182"/>
    <mergeCell ref="AS186:AT186"/>
    <mergeCell ref="AW186:AX186"/>
    <mergeCell ref="BA186:BB186"/>
    <mergeCell ref="BE186:BF186"/>
    <mergeCell ref="BI186:BJ186"/>
    <mergeCell ref="BM186:BN186"/>
    <mergeCell ref="BM187:BO187"/>
    <mergeCell ref="AY188:AY189"/>
    <mergeCell ref="AG88:AI90"/>
    <mergeCell ref="AG91:AH91"/>
    <mergeCell ref="AG92:AI92"/>
    <mergeCell ref="AG93:AG94"/>
    <mergeCell ref="AH93:AH94"/>
    <mergeCell ref="AI93:AI94"/>
    <mergeCell ref="AG95:AI97"/>
    <mergeCell ref="AG98:AH98"/>
    <mergeCell ref="AG99:AI99"/>
    <mergeCell ref="AG100:AG101"/>
    <mergeCell ref="AH100:AH101"/>
    <mergeCell ref="AI100:AI101"/>
    <mergeCell ref="AG102:AI104"/>
    <mergeCell ref="AG105:AH105"/>
    <mergeCell ref="AG106:AI106"/>
    <mergeCell ref="AG107:AG108"/>
    <mergeCell ref="AH107:AH108"/>
    <mergeCell ref="AI107:AI108"/>
    <mergeCell ref="AG109:AI111"/>
    <mergeCell ref="AG112:AH112"/>
    <mergeCell ref="AG113:AI113"/>
    <mergeCell ref="AG114:AG115"/>
    <mergeCell ref="AH114:AH115"/>
    <mergeCell ref="AI114:AI115"/>
    <mergeCell ref="AG116:AI118"/>
    <mergeCell ref="AG119:AH119"/>
    <mergeCell ref="AG123:AI125"/>
    <mergeCell ref="AG126:AH126"/>
    <mergeCell ref="AG127:AI127"/>
    <mergeCell ref="AG128:AG129"/>
    <mergeCell ref="AH128:AH129"/>
    <mergeCell ref="AI128:AI129"/>
    <mergeCell ref="AG130:AI132"/>
    <mergeCell ref="AG133:AH133"/>
    <mergeCell ref="AG134:AI134"/>
    <mergeCell ref="AH142:AH143"/>
    <mergeCell ref="AI142:AI143"/>
    <mergeCell ref="AG135:AG136"/>
    <mergeCell ref="AH135:AH136"/>
    <mergeCell ref="AI135:AI136"/>
    <mergeCell ref="AG137:AI139"/>
    <mergeCell ref="AG140:AH140"/>
    <mergeCell ref="AG141:AI141"/>
    <mergeCell ref="AG142:AG143"/>
    <mergeCell ref="AG144:AI146"/>
    <mergeCell ref="AG147:AH147"/>
    <mergeCell ref="AG148:AI148"/>
    <mergeCell ref="AG149:AG150"/>
    <mergeCell ref="AH149:AH150"/>
    <mergeCell ref="AI149:AI150"/>
    <mergeCell ref="AG151:AI153"/>
    <mergeCell ref="AQ174:AQ175"/>
    <mergeCell ref="AS174:AS175"/>
    <mergeCell ref="AT174:AT175"/>
    <mergeCell ref="AU174:AU175"/>
    <mergeCell ref="AS180:AU180"/>
    <mergeCell ref="AW174:AW175"/>
    <mergeCell ref="AX174:AX175"/>
    <mergeCell ref="AW180:AY180"/>
    <mergeCell ref="BA180:BC180"/>
    <mergeCell ref="BE180:BG180"/>
    <mergeCell ref="BB174:BB175"/>
    <mergeCell ref="BC174:BC175"/>
    <mergeCell ref="BQ174:BQ175"/>
    <mergeCell ref="BR174:BR175"/>
    <mergeCell ref="BS174:BS175"/>
    <mergeCell ref="AG176:AI178"/>
    <mergeCell ref="AK176:AM178"/>
    <mergeCell ref="AO176:AQ178"/>
    <mergeCell ref="AO179:AP179"/>
    <mergeCell ref="AO180:AQ180"/>
    <mergeCell ref="BM180:BO180"/>
    <mergeCell ref="BQ180:BS180"/>
    <mergeCell ref="BY174:BY175"/>
    <mergeCell ref="BZ174:BZ175"/>
    <mergeCell ref="BQ176:BS178"/>
    <mergeCell ref="BI179:BJ179"/>
    <mergeCell ref="BM179:BN179"/>
    <mergeCell ref="BQ179:BR179"/>
    <mergeCell ref="BI180:BK180"/>
    <mergeCell ref="BU176:BW178"/>
    <mergeCell ref="BY176:CA178"/>
    <mergeCell ref="BY181:BY182"/>
    <mergeCell ref="BZ181:BZ182"/>
    <mergeCell ref="CA181:CA182"/>
    <mergeCell ref="CC181:CC182"/>
    <mergeCell ref="CD181:CD182"/>
    <mergeCell ref="CE181:CE182"/>
    <mergeCell ref="BU183:BW185"/>
    <mergeCell ref="BY183:CA185"/>
    <mergeCell ref="CC183:CE185"/>
    <mergeCell ref="BU186:BV186"/>
    <mergeCell ref="BY186:BZ186"/>
    <mergeCell ref="CC186:CD186"/>
    <mergeCell ref="BU187:BW187"/>
    <mergeCell ref="BY187:CA187"/>
    <mergeCell ref="BT163:BT242"/>
    <mergeCell ref="BX163:BX242"/>
    <mergeCell ref="CB163:CB242"/>
    <mergeCell ref="CF163:CF242"/>
    <mergeCell ref="BW174:BW175"/>
    <mergeCell ref="BY179:BZ179"/>
    <mergeCell ref="CC180:CE180"/>
    <mergeCell ref="CC187:CE187"/>
    <mergeCell ref="CA174:CA175"/>
    <mergeCell ref="CC174:CC175"/>
    <mergeCell ref="CD174:CD175"/>
    <mergeCell ref="CE174:CE175"/>
    <mergeCell ref="BV174:BV175"/>
    <mergeCell ref="BU179:BV179"/>
    <mergeCell ref="CC176:CE178"/>
    <mergeCell ref="CC179:CD179"/>
    <mergeCell ref="BU180:BW180"/>
    <mergeCell ref="BY180:CA180"/>
    <mergeCell ref="BU174:BU175"/>
    <mergeCell ref="BU181:BU182"/>
    <mergeCell ref="BV181:BV182"/>
    <mergeCell ref="BW181:BW182"/>
    <mergeCell ref="BQ183:BS185"/>
    <mergeCell ref="BQ186:BR186"/>
    <mergeCell ref="BQ187:BS187"/>
    <mergeCell ref="AG187:AI187"/>
    <mergeCell ref="AK187:AM187"/>
    <mergeCell ref="AK188:AK189"/>
    <mergeCell ref="AL188:AL189"/>
    <mergeCell ref="AG154:AH154"/>
    <mergeCell ref="AG155:AI155"/>
    <mergeCell ref="AF163:AF242"/>
    <mergeCell ref="AG163:AG164"/>
    <mergeCell ref="AH163:AI164"/>
    <mergeCell ref="AJ163:AJ242"/>
    <mergeCell ref="AN163:AN242"/>
    <mergeCell ref="AM188:AM189"/>
    <mergeCell ref="AW188:AW189"/>
    <mergeCell ref="AX188:AX189"/>
    <mergeCell ref="AO187:AQ187"/>
    <mergeCell ref="AO188:AO189"/>
    <mergeCell ref="AP188:AP189"/>
    <mergeCell ref="AQ188:AQ189"/>
    <mergeCell ref="AS188:AS189"/>
    <mergeCell ref="AT188:AT189"/>
    <mergeCell ref="AU188:AU189"/>
    <mergeCell ref="AY174:AY175"/>
    <mergeCell ref="BA174:BA175"/>
    <mergeCell ref="BE174:BE175"/>
    <mergeCell ref="BF174:BF175"/>
    <mergeCell ref="BG174:BG175"/>
    <mergeCell ref="BI174:BI175"/>
    <mergeCell ref="BJ174:BJ175"/>
    <mergeCell ref="BK174:BK175"/>
    <mergeCell ref="BM174:BM175"/>
    <mergeCell ref="BN174:BN175"/>
    <mergeCell ref="BA179:BB179"/>
    <mergeCell ref="BE179:BF179"/>
    <mergeCell ref="AS179:AT179"/>
    <mergeCell ref="AW179:AX179"/>
    <mergeCell ref="AS187:AU187"/>
    <mergeCell ref="AW187:AY187"/>
    <mergeCell ref="BA187:BC187"/>
    <mergeCell ref="BE187:BG187"/>
    <mergeCell ref="BI187:BK187"/>
  </mergeCells>
  <dataValidations>
    <dataValidation type="list" allowBlank="1" showErrorMessage="1" sqref="D38 D45 D59">
      <formula1>"BW,10 - 20 lbs,20 - 30 lbs,30 - 45 lbs,45 - 60 lbs"</formula1>
    </dataValidation>
    <dataValidation type="list" allowBlank="1" showErrorMessage="1" sqref="D200">
      <formula1>"BW,30 - 45 lbs ,45 - 65 lbs,65 - 100 lbs,100 - 150 lbs"</formula1>
    </dataValidation>
    <dataValidation type="list" allowBlank="1" showErrorMessage="1" sqref="B10 B17 B24 B31 B38 B45 B52 B59 B66 B73 B80 B91 B98 B105 B112 B119 B126 B133 B140 B147 B154 B161 B172 B179 B186 B200 B207 B214 B221 B228 B235 B242 B253 B260 B267 B274 B281 B288 B295 B302 B309 B316 B323 B334 B341 B348 B355 B362 B369 B376 B383 B390 B397 B404">
      <formula1>"2,3,4"</formula1>
    </dataValidation>
    <dataValidation type="list" allowBlank="1" showErrorMessage="1" sqref="B193">
      <formula1>"1,2,3"</formula1>
    </dataValidation>
    <dataValidation type="list" allowBlank="1" showErrorMessage="1" sqref="C235 C397">
      <formula1>"1-3; 10-20,3-5; 20-40,5-10; 40-80,10-20; 80-100"</formula1>
    </dataValidation>
    <dataValidation type="list" allowBlank="1" showErrorMessage="1" sqref="D281 D383">
      <formula1>"BW,10 - 20 lbs,20 - 40 lbs,40 - 60 lbs,60 - 80 lbs"</formula1>
    </dataValidation>
    <dataValidation type="list" allowBlank="1" showErrorMessage="1" sqref="C17 C260 C267 C274 C281 C288 C295 C302 C309 C316 C376 C383 C390 C404">
      <formula1>"3 - 6,6 - 10,10 - 15,15 - 20"</formula1>
    </dataValidation>
    <dataValidation type="list" allowBlank="1" showErrorMessage="1" sqref="D302">
      <formula1>"BW,60 - 80 lbs,80 - 100 lbs,100 - 140 lbs,140 - 180 lbs,180 - 220 lbs,220 - 260 lbs,260 - 300 lbs"</formula1>
    </dataValidation>
    <dataValidation type="list" allowBlank="1" showErrorMessage="1" sqref="C10 C24 C31 C38 C52 C59 C66 C73 C80 C91 C98 C105 C112 C119 C126 C133 C140 C147 C154 C161 C172 C179 C186 C200 C207 C214 C221 C228 C242 C253 C334 C341 C348 C355 C362 C369">
      <formula1>"5 - 8,8 - 12,12-16,16-20"</formula1>
    </dataValidation>
    <dataValidation type="list" allowBlank="1" showErrorMessage="1" sqref="D24 D52 D207 D253 D334 D348">
      <formula1>"BW,5 - 10 lbs,10 - 15 lbs,15 - 25 lbs,25 - 40 lbs"</formula1>
    </dataValidation>
    <dataValidation type="list" allowBlank="1" showErrorMessage="1" sqref="D214">
      <formula1>"10 - 25 lbs,25 - 45 lbs,45 - 65 lbs,65 - 80 lbs"</formula1>
    </dataValidation>
    <dataValidation type="list" allowBlank="1" showErrorMessage="1" sqref="D10 D172 D355">
      <formula1>"BW,5 - 10 lbs,15 - 20 lbs,20 - 30 lbs,30 - 45 lbs"</formula1>
    </dataValidation>
    <dataValidation type="list" allowBlank="1" showErrorMessage="1" sqref="D140">
      <formula1>"BW,10 - 20 lbs,25 - 45 lbs,45 - 65 lbs,65 - 80 lbs,80 - 120 lbs,120 - 160 lbs,160 - 200 lbs"</formula1>
    </dataValidation>
    <dataValidation type="list" allowBlank="1" showErrorMessage="1" sqref="D362">
      <formula1>"45 - 60 lbs,60 - 80 lbs,80 - 120 lbs,120 - 160 lbs,160 - 200 lbs,200 - 250 lbs,250 - 300 lbs"</formula1>
    </dataValidation>
    <dataValidation type="list" allowBlank="1" showErrorMessage="1" sqref="D186">
      <formula1>"BW,0 - 6 lbs,6 - 10 lbs,10 - 16 lbs,16 - 24 lbs"</formula1>
    </dataValidation>
    <dataValidation type="list" allowBlank="1" showErrorMessage="1" sqref="D323">
      <formula1>"5 - 10 lbs,10 - 20 lbs,20 - 35 lbs,35 - 50 lbs,50 - 70 lbs"</formula1>
    </dataValidation>
    <dataValidation type="list" allowBlank="1" showErrorMessage="1" sqref="D73 D228">
      <formula1>"BW,10 - 25 lbs,25 - 40 lbs,40 - 55 lbs,55 - 75 lbs"</formula1>
    </dataValidation>
    <dataValidation type="list" allowBlank="1" showErrorMessage="1" sqref="D80">
      <formula1>"BW,10 - 25 lbs,25 - 45 lbs,45 - 65 lbs,65 - 80 lbs"</formula1>
    </dataValidation>
    <dataValidation type="list" allowBlank="1" showErrorMessage="1" sqref="D295 D376">
      <formula1>"BW,5 - 10 lbs,10 - 25 lbs,25 - 45 lbs,45 - 70 lbs"</formula1>
    </dataValidation>
    <dataValidation type="list" allowBlank="1" showErrorMessage="1" sqref="D119">
      <formula1>"BW,30 - 60 lbs,60 - 90 lbs,90 - 140 lbs,140 - 200 lbs,200 - 250 lbs,250 - 300 lbs"</formula1>
    </dataValidation>
    <dataValidation type="list" allowBlank="1" showErrorMessage="1" sqref="D133">
      <formula1>"8 - 12 lbs,12 - 20 lbs,20 - 30 lbs,40 - 55 lbs"</formula1>
    </dataValidation>
    <dataValidation type="list" allowBlank="1" showErrorMessage="1" sqref="C45">
      <formula1>"10-20 sec,20-30 sec,30-45 sec,45-60 sec"</formula1>
    </dataValidation>
    <dataValidation type="list" allowBlank="1" showErrorMessage="1" sqref="G10 K10 O10 S10 W10 AA10 AE10 AI10 AM10 AQ10 AU10 AY10 BC10 BG10 BK10 BO10 BS10 BW10 CA10 CE10 CI10 G17 K17 O17 S17 W17 AA17 AE17 AI17 AM17 AQ17 AU17 AY17 BC17 BG17 BK17 BO17 BS17 BW17 CA17 CE17 CI17 G24 K24 O24 S24 W24 AA24 AE24 AI24 AM24 AQ24 AU24 AY24 BC24 BG24 BK24 BO24 BS24 BW24 CA24 CE24 CI24 G31 K31 O31 S31 W31 AA31 AE31 AI31 AM31 AQ31 AU31 AY31 BC31 BG31 BK31 BO31 BS31 BW31 CA31 CE31 CI31 G38 K38 O38 S38 W38 AA38 AE38 AI38 AM38 AQ38 AU38 AY38 BC38 BG38 BK38 BO38 BS38 BW38 CA38 CE38 CI38 G45 K45 O45 S45 W45 AA45 AE45 AI45 AM45 AQ45 AU45 AY45 BC45 BG45 BK45 BO45 BS45 BW45 CA45 CE45 CI45 G52 K52 O52 S52 W52 AA52 AE52 AI52 AM52 AQ52 AU52 AY52 BC52 BG52 BK52 BO52 BS52 BW52 CA52 CE52 CI52 G59 K59 O59 S59 W59 AA59 AE59 AI59 AM59 AQ59 AU59 AY59 BC59 BG59 BK59 BO59 BS59 BW59 CA59 CE59 CI59 G66 K66 O66 S66 W66 AA66 AE66 AI66 AM66 AQ66 AU66 AY66 BC66 BG66 BK66 BO66 BS66 BW66 CA66 CE66 CI66 G73 K73 O73 S73 W73 AA73 AE73 AI73 AM73 AQ73 AU73 AY73 BC73 BG73 BK73 BO73 BS73 BW73 CA73 CE73 CI73 G80 K80 O80 S80 W80 AA80 AE80 AI80 AM80 AQ80 AU80 AY80 BC80 BG80 BK80 BO80 BS80 BW80 CA80 CE80 CI80 G91 K91 O91 S91 W91 AA91 AE91 AI91 AM91 AQ91 AU91 AY91 BC91 BG91 BK91 BO91 BS91 BW91 CA91 CE91 CI91 G98 K98 O98 S98 W98 AA98 AE98 AI98 AM98 AQ98 AU98 AY98 BC98 BG98 BK98 BO98 BS98 BW98 CA98 CE98 CI98 G105 K105 O105 S105 W105 AA105 AE105 AI105 AM105 AQ105 AU105 AY105 BC105 BG105 BK105 BO105 BS105 BW105 CA105 CE105 CI105 G112 K112 O112 S112 W112 AA112 AE112 AI112 AM112 AQ112 AU112 AY112 BC112 BG112 BK112 BO112 BS112 BW112 CA112 CE112 CI112 G119 K119 O119 S119 W119 AA119 AE119 AI119 AM119 AQ119 AU119 AY119 BC119 BG119 BK119 BO119 BS119 BW119 CA119 CE119 CI119 G126 K126 O126 S126 W126 AA126 AE126 AI126 AM126 AQ126 AU126 AY126 BC126 BG126 BK126 BO126 BS126 BW126 CA126 CE126 CI126 G133 K133 O133 S133 W133 AA133 AE133 AI133 AM133 AQ133 AU133 AY133 BC133 BG133 BK133 BO133 BS133 BW133 CA133 CE133 CI133 G140 K140 O140 S140 W140 AA140 AE140 AI140 AM140 AQ140 AU140 AY140 BC140 BG140 BK140 BO140 BS140 BW140 CA140 CE140 CI140 G147 K147 O147 S147 W147 AA147 AE147 AI147 AM147 AQ147 AU147 AY147 BC147 BG147 BK147 BO147 BS147 BW147 CA147 CE147 CI147 G154 K154 O154 S154 W154 AA154 AE154 AI154 AM154 AQ154 AU154 AY154 BC154 BG154 BK154 BO154 BS154 BW154 CA154 CE154 CI154 G161 K161 O161 S161 W161 AA161 AE161 AI161 AM161 AQ161 AU161 AY161 BC161 BG161 BK161 BO161 BS161 BW161 CA161 CE161 CI161 G172 K172 O172 S172 W172 AA172 AE172 AI172 AM172 AQ172 AU172 AY172 BC172 BG172 BK172 BO172 BS172 BW172 CA172 CE172 CI172 G179 K179 O179 S179 W179 AA179 AE179 AI179 AM179 AQ179 AU179 AY179 BC179 BG179 BK179 BO179 BS179 BW179 CA179 CE179 CI179 G186 K186 O186 S186 W186 AA186 AE186 AI186 AM186 AQ186 AU186 AY186 BC186 BG186 BK186 BO186 BS186 BW186 CA186 CE186 CI186 G193 K193 O193 S193 W193 AA193 AE193 AI193 AM193 AQ193 AU193 AY193 BC193 BG193 BK193 BO193 BS193 BW193 CA193 CE193 CI193 G200 K200 O200 S200 W200 AA200 AE200 AI200 AM200 AQ200 AU200 AY200 BC200 BG200 BK200 BO200 BS200 BW200 CA200 CE200 CI200 G207 K207 O207 S207 W207 AA207 AE207 AI207 AM207 AQ207 AU207 AY207 BC207 BG207 BK207 BO207 BS207 BW207 CA207 CE207 CI207 G214 K214 O214 S214 W214 AA214 AE214 AI214 AM214 AQ214 AU214 AY214 BC214 BG214 BK214 BO214 BS214 BW214 CA214 CE214 CI214 G221 K221 O221 S221 W221 AA221 AE221 AI221 AM221 AQ221 AU221 AY221 BC221 BG221 BK221 BO221 BS221 BW221 CA221 CE221 CI221 G228 K228 O228 S228 W228 AA228 AE228 AI228 AM228 AQ228 AU228 AY228 BC228 BG228 BK228 BO228 BS228 BW228 CA228 CE228 CI228 G235 K235 O235 S235 W235 AA235 AE235 AI235 AM235 AQ235 AU235 AY235 BC235 BG235 BK235 BO235 BS235 BW235 CA235 CE235 CI235 G242 K242 O242 S242 W242 AA242 AE242 AI242 AM242 AQ242 AU242 AY242 BC242 BG242 BK242 BO242 BS242 BW242 CA242 CE242 CI242 G253 K253 O253 S253 W253 AA253 AE253 AI253 AM253 AQ253 AU253 AY253 BC253 BG253 BK253 BO253 BS253 BW253 CA253 CE253 CI253 G260 K260 O260 S260 W260 AA260 AE260 AI260 AM260 AQ260 AU260 AY260 BC260 BG260 BK260 BO260 BS260 BW260 CA260 CE260 CI260 G267 K267 O267 S267 W267 AA267 AE267 AI267 AM267 AQ267 AU267 AY267 BC267 BG267 BK267 BO267 BS267 BW267 CA267 CE267 CI267 G274 K274 O274 S274 W274 AA274 AE274 AI274 AM274 AQ274 AU274 AY274 BC274 BG274 BK274 BO274 BS274 BW274 CA274 CE274 CI274 G281 K281 O281 S281 W281 AA281 AE281 AI281 AM281 AQ281 AU281 AY281 BC281 BG281 BK281 BO281 BS281 BW281 CA281 CE281 CI281 G288 K288 O288 S288 W288 AA288 AE288 AI288 AM288 AQ288 AU288 AY288 BC288 BG288 BK288 BO288 BS288 BW288 CA288 CE288 CI288 G295 K295 O295 S295 W295 AA295 AE295 AI295 AM295 AQ295 AU295 AY295 BC295 BG295 BK295 BO295 BS295 BW295 CA295 CE295 CI295 G302 K302 O302 S302 W302 AA302 AE302 AI302 AM302 AQ302 AU302 AY302 BC302 BG302 BK302 BO302 BS302 BW302 CA302 CE302 CI302 G309 K309 O309 S309 W309 AA309 AE309 AI309 AM309 AQ309 AU309 AY309 BC309 BG309 BK309 BO309 BS309 BW309 CA309 CE309 CI309 G316 K316 O316 S316 W316 AA316 AE316 AI316 AM316 AQ316 AU316 AY316 BC316 BG316 BK316 BO316 BS316 BW316 CA316 CE316 CI316 G323 K323 O323 S323 W323 AA323 AE323 AI323 AM323 AQ323 AU323 AY323 BC323 BG323 BK323 BO323 BS323 BW323 CA323 CE323 CI323 G334 K334 O334 S334 W334 AA334 AE334 AI334 AM334 AQ334 AU334 AY334 BC334 BG334 BK334 BO334 BS334 BW334 CA334 CE334 CI334 G341 K341 O341 S341 W341 AA341 AE341 AI341 AM341 AQ341 AU341 AY341 BC341 BG341 BK341 BO341 BS341 BW341 CA341 CE341 CI341 G348 K348 O348 S348 W348 AA348 AE348 AI348 AM348 AQ348 AU348 AY348 BC348 BG348 BK348 BO348 BS348 BW348 CA348 CE348 CI348 G355 K355 O355 S355 W355 AA355 AE355 AI355 AM355 AQ355 AU355 AY355 BC355 BG355 BK355 BO355 BS355 BW355 CA355 CE355 CI355 G362 K362 O362 S362 W362 AA362 AE362 AI362 AM362 AQ362 AU362 AY362 BC362 BG362 BK362 BO362 BS362 BW362 CA362 CE362 CI362 G369 K369 O369 S369 W369 AA369 AE369 AI369 AM369 AQ369 AU369 AY369 BC369 BG369 BK369 BO369 BS369 BW369 CA369 CE369 CI369 G376 K376 O376 S376 W376 AA376 AE376 AI376 AM376 AQ376 AU376 AY376 BC376 BG376 BK376 BO376 BS376 BW376 CA376 CE376 CI376 G383 K383 O383 S383 W383 AA383 AE383 AI383 AM383 AQ383 AU383 AY383 BC383 BG383 BK383 BO383 BS383 BW383 CA383 CE383 CI383 G390 K390 O390 S390 W390 AA390 AE390 AI390 AM390 AQ390 AU390 AY390 BC390 BG390 BK390 BO390 BS390 BW390 CA390 CE390 CI390 G397 K397 O397 S397 W397 AA397 AE397 AI397 AM397 AQ397 AU397 AY397 BC397 BG397 BK397 BO397 BS397 BW397 CA397 CE397 CI397 G404 K404 O404 S404 W404 AA404 AE404 AI404 AM404 AQ404 AU404 AY404 BC404 BG404 BK404 BO404 BS404 BW404 CA404 CE404 CI404">
      <formula1>"1,2,3,4,5,6,7,8,9,10"</formula1>
    </dataValidation>
    <dataValidation type="list" allowBlank="1" showErrorMessage="1" sqref="D221">
      <formula1>"BW,5 - 10 lbs,10 - 20 lbs,20 - 35 lbs,35 - 50 lbs"</formula1>
    </dataValidation>
    <dataValidation type="list" allowBlank="1" showErrorMessage="1" sqref="C323">
      <formula1>"10-20 sec,15-30 sec,30-45 sec,45-60 sec"</formula1>
    </dataValidation>
    <dataValidation type="custom" allowBlank="1" showDropDown="1" sqref="E3 I3 M3 Q3 U3 Y3 AC3 AG3 AK3 AO3 AS3 AW3 BA3 BE3 BI3 BM3 BQ3 BU3 BY3 CC3 CG3 E84 I84 M84 Q84 U84 Y84 AC84 AG84 AK84 AO84 AS84 AW84 BA84 BE84 BI84 BM84 BQ84 BU84 BY84 CC84 CG84 E165 I165 M165 Q165 U165 Y165 AC165 AG165 AK165 AO165 AS165 AW165 BA165 BE165 BI165 BM165 BQ165 BU165 BY165 CC165 CG165 E246 I246 M246 Q246 U246 Y246 AC246 AG246 AK246 AO246 AS246 AW246 BA246 BE246 BI246 BM246 BQ246 BU246 BY246 CC246 CG246 E327 I327 M327 Q327 U327 Y327 AC327 AG327 AK327 AO327 AS327 AW327 BA327 BE327 BI327 BM327 BQ327 BU327 BY327 CC327 CG327">
      <formula1>OR(NOT(ISERROR(DATEVALUE(E3))), AND(ISNUMBER(E3), LEFT(CELL("format", E3))="D"))</formula1>
    </dataValidation>
  </dataValidations>
  <hyperlinks>
    <hyperlink r:id="rId1" ref="D5"/>
    <hyperlink r:id="rId2" ref="D12"/>
    <hyperlink r:id="rId3" ref="D19"/>
    <hyperlink r:id="rId4" ref="D26"/>
    <hyperlink r:id="rId5" ref="D33"/>
    <hyperlink r:id="rId6" ref="D40"/>
    <hyperlink r:id="rId7" ref="D47"/>
    <hyperlink r:id="rId8" ref="D54"/>
    <hyperlink r:id="rId9" ref="D61"/>
    <hyperlink r:id="rId10" ref="D68"/>
    <hyperlink r:id="rId11" ref="D75"/>
    <hyperlink r:id="rId12" ref="D86"/>
    <hyperlink r:id="rId13" ref="D93"/>
    <hyperlink r:id="rId14" ref="D100"/>
    <hyperlink r:id="rId15" ref="D107"/>
    <hyperlink r:id="rId16" ref="D114"/>
    <hyperlink r:id="rId17" ref="D121"/>
    <hyperlink r:id="rId18" ref="D128"/>
    <hyperlink r:id="rId19" ref="D135"/>
    <hyperlink r:id="rId20" ref="D142"/>
    <hyperlink r:id="rId21" ref="D149"/>
    <hyperlink r:id="rId22" ref="D156"/>
    <hyperlink r:id="rId23" ref="D167"/>
    <hyperlink r:id="rId24" ref="D174"/>
    <hyperlink r:id="rId25" ref="D181"/>
    <hyperlink r:id="rId26" ref="D188"/>
    <hyperlink r:id="rId27" ref="D195"/>
    <hyperlink r:id="rId28" ref="D202"/>
    <hyperlink r:id="rId29" ref="D209"/>
    <hyperlink r:id="rId30" ref="D216"/>
    <hyperlink r:id="rId31" ref="D223"/>
    <hyperlink r:id="rId32" ref="D230"/>
    <hyperlink r:id="rId33" ref="D237"/>
    <hyperlink r:id="rId34" ref="D248"/>
    <hyperlink r:id="rId35" ref="D255"/>
    <hyperlink r:id="rId36" ref="D262"/>
    <hyperlink r:id="rId37" ref="D269"/>
    <hyperlink r:id="rId38" ref="D276"/>
    <hyperlink r:id="rId39" ref="D283"/>
    <hyperlink r:id="rId40" ref="D290"/>
    <hyperlink r:id="rId41" ref="D297"/>
    <hyperlink r:id="rId42" ref="D304"/>
    <hyperlink r:id="rId43" ref="D311"/>
    <hyperlink r:id="rId44" ref="D318"/>
    <hyperlink r:id="rId45" ref="D329"/>
    <hyperlink r:id="rId46" ref="D336"/>
    <hyperlink r:id="rId47" ref="D343"/>
    <hyperlink r:id="rId48" ref="D350"/>
    <hyperlink r:id="rId49" ref="D357"/>
    <hyperlink r:id="rId50" ref="D364"/>
    <hyperlink r:id="rId51" ref="D371"/>
    <hyperlink r:id="rId52" ref="D378"/>
    <hyperlink r:id="rId53" ref="D385"/>
    <hyperlink r:id="rId54" ref="D392"/>
    <hyperlink r:id="rId55" ref="D399"/>
    <hyperlink r:id="rId56" ref="D410"/>
    <hyperlink r:id="rId57" ref="D412"/>
    <hyperlink r:id="rId58" ref="D414"/>
    <hyperlink r:id="rId59" ref="D416"/>
    <hyperlink r:id="rId60" ref="D418"/>
    <hyperlink r:id="rId61" ref="D419"/>
    <hyperlink r:id="rId62" ref="D420"/>
    <hyperlink r:id="rId63" ref="D421"/>
    <hyperlink r:id="rId64" ref="D423"/>
    <hyperlink r:id="rId65" ref="D425"/>
    <hyperlink r:id="rId66" ref="D427"/>
    <hyperlink r:id="rId67" ref="D429"/>
    <hyperlink r:id="rId68" ref="D431"/>
    <hyperlink r:id="rId69" ref="D433"/>
    <hyperlink r:id="rId70" ref="D435"/>
    <hyperlink r:id="rId71" ref="D437"/>
    <hyperlink r:id="rId72" ref="D439"/>
    <hyperlink r:id="rId73" ref="D441"/>
    <hyperlink r:id="rId74" ref="D443"/>
  </hyperlinks>
  <drawing r:id="rId7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2" width="18.13"/>
    <col customWidth="1" min="3" max="3" width="13.63"/>
    <col customWidth="1" min="4" max="4" width="21.5"/>
    <col customWidth="1" min="5" max="5" width="17.25"/>
    <col customWidth="1" min="6" max="6" width="18.13"/>
    <col customWidth="1" min="7" max="7" width="14.88"/>
    <col customWidth="1" min="8" max="8" width="21.75"/>
    <col customWidth="1" min="9" max="9" width="15.38"/>
    <col customWidth="1" min="10" max="10" width="18.13"/>
    <col customWidth="1" min="11" max="11" width="16.0"/>
    <col customWidth="1" min="12" max="12" width="19.5"/>
    <col customWidth="1" min="13" max="13" width="15.75"/>
    <col customWidth="1" min="14" max="14" width="18.5"/>
    <col customWidth="1" min="15" max="15" width="15.75"/>
    <col customWidth="1" min="17" max="17" width="14.63"/>
  </cols>
  <sheetData>
    <row r="1">
      <c r="A1" s="189" t="s">
        <v>270</v>
      </c>
      <c r="B1" s="190" t="s">
        <v>271</v>
      </c>
      <c r="C1" s="23"/>
      <c r="D1" s="23"/>
      <c r="E1" s="23"/>
      <c r="F1" s="23"/>
      <c r="G1" s="23"/>
      <c r="H1" s="191" t="s">
        <v>272</v>
      </c>
      <c r="I1" s="48"/>
      <c r="J1" s="192" t="s">
        <v>273</v>
      </c>
      <c r="K1" s="48"/>
      <c r="L1" s="48"/>
      <c r="M1" s="48"/>
      <c r="N1" s="48"/>
      <c r="O1" s="48"/>
      <c r="P1" s="193"/>
      <c r="Q1" s="42"/>
    </row>
    <row r="2">
      <c r="A2" s="50"/>
      <c r="B2" s="194" t="s">
        <v>274</v>
      </c>
      <c r="C2" s="195" t="s">
        <v>275</v>
      </c>
      <c r="D2" s="196" t="s">
        <v>276</v>
      </c>
      <c r="E2" s="48"/>
      <c r="F2" s="197" t="s">
        <v>277</v>
      </c>
      <c r="G2" s="24"/>
      <c r="H2" s="50"/>
      <c r="P2" s="50"/>
      <c r="Q2" s="51"/>
    </row>
    <row r="3">
      <c r="A3" s="50"/>
      <c r="B3" s="198" t="s">
        <v>278</v>
      </c>
      <c r="C3" s="195" t="s">
        <v>275</v>
      </c>
      <c r="D3" s="50"/>
      <c r="F3" s="199" t="s">
        <v>279</v>
      </c>
      <c r="G3" s="24"/>
      <c r="H3" s="50"/>
      <c r="P3" s="53"/>
      <c r="Q3" s="54"/>
    </row>
    <row r="4">
      <c r="A4" s="50"/>
      <c r="B4" s="200" t="s">
        <v>280</v>
      </c>
      <c r="C4" s="24"/>
      <c r="D4" s="201" t="s">
        <v>281</v>
      </c>
      <c r="E4" s="24"/>
      <c r="F4" s="201" t="s">
        <v>282</v>
      </c>
      <c r="G4" s="24"/>
      <c r="H4" s="201" t="s">
        <v>283</v>
      </c>
      <c r="I4" s="24"/>
      <c r="J4" s="201" t="s">
        <v>284</v>
      </c>
      <c r="K4" s="24"/>
      <c r="L4" s="201" t="s">
        <v>285</v>
      </c>
      <c r="M4" s="24"/>
      <c r="N4" s="201" t="s">
        <v>286</v>
      </c>
      <c r="O4" s="24"/>
      <c r="P4" s="202" t="s">
        <v>287</v>
      </c>
      <c r="Q4" s="202" t="s">
        <v>288</v>
      </c>
    </row>
    <row r="5">
      <c r="A5" s="53"/>
      <c r="B5" s="203" t="s">
        <v>289</v>
      </c>
      <c r="C5" s="24"/>
      <c r="D5" s="203" t="s">
        <v>290</v>
      </c>
      <c r="E5" s="24"/>
      <c r="F5" s="203" t="s">
        <v>289</v>
      </c>
      <c r="G5" s="24"/>
      <c r="H5" s="203" t="s">
        <v>290</v>
      </c>
      <c r="I5" s="24"/>
      <c r="J5" s="203" t="s">
        <v>291</v>
      </c>
      <c r="K5" s="24"/>
      <c r="L5" s="203" t="s">
        <v>292</v>
      </c>
      <c r="M5" s="24"/>
      <c r="N5" s="203" t="s">
        <v>293</v>
      </c>
      <c r="O5" s="24"/>
      <c r="P5" s="54"/>
      <c r="Q5" s="54"/>
    </row>
    <row r="6">
      <c r="A6" s="204" t="s">
        <v>294</v>
      </c>
      <c r="B6" s="205">
        <v>46027.0</v>
      </c>
      <c r="C6" s="24"/>
      <c r="D6" s="205">
        <v>46028.0</v>
      </c>
      <c r="E6" s="24"/>
      <c r="F6" s="205">
        <v>46029.0</v>
      </c>
      <c r="G6" s="24"/>
      <c r="H6" s="205">
        <v>46030.0</v>
      </c>
      <c r="I6" s="24"/>
      <c r="J6" s="205">
        <v>46031.0</v>
      </c>
      <c r="K6" s="24"/>
      <c r="L6" s="205">
        <v>46032.0</v>
      </c>
      <c r="M6" s="24"/>
      <c r="N6" s="205">
        <v>46033.0</v>
      </c>
      <c r="O6" s="24"/>
      <c r="P6" s="206">
        <f>SUM(B7,D7,F7,H7,J7,L7,N7)</f>
        <v>40</v>
      </c>
      <c r="Q6" s="207"/>
    </row>
    <row r="7">
      <c r="A7" s="49"/>
      <c r="B7" s="208">
        <v>5.0</v>
      </c>
      <c r="C7" s="209" t="s">
        <v>295</v>
      </c>
      <c r="D7" s="210">
        <v>8.0</v>
      </c>
      <c r="E7" s="209" t="s">
        <v>295</v>
      </c>
      <c r="F7" s="208">
        <v>5.0</v>
      </c>
      <c r="G7" s="209" t="s">
        <v>295</v>
      </c>
      <c r="H7" s="210">
        <v>5.0</v>
      </c>
      <c r="I7" s="209" t="s">
        <v>295</v>
      </c>
      <c r="J7" s="210">
        <v>0.0</v>
      </c>
      <c r="K7" s="209" t="s">
        <v>295</v>
      </c>
      <c r="L7" s="210">
        <v>12.0</v>
      </c>
      <c r="M7" s="209" t="s">
        <v>295</v>
      </c>
      <c r="N7" s="208">
        <v>5.0</v>
      </c>
      <c r="O7" s="209" t="s">
        <v>295</v>
      </c>
      <c r="P7" s="49"/>
      <c r="Q7" s="49"/>
    </row>
    <row r="8">
      <c r="A8" s="49"/>
      <c r="B8" s="211" t="s">
        <v>296</v>
      </c>
      <c r="C8" s="212" t="s">
        <v>297</v>
      </c>
      <c r="D8" s="213" t="s">
        <v>298</v>
      </c>
      <c r="E8" s="212"/>
      <c r="F8" s="211" t="s">
        <v>296</v>
      </c>
      <c r="G8" s="212"/>
      <c r="H8" s="213" t="s">
        <v>299</v>
      </c>
      <c r="I8" s="212"/>
      <c r="J8" s="213" t="s">
        <v>300</v>
      </c>
      <c r="K8" s="212"/>
      <c r="L8" s="213" t="s">
        <v>301</v>
      </c>
      <c r="M8" s="212"/>
      <c r="N8" s="211" t="s">
        <v>296</v>
      </c>
      <c r="O8" s="212"/>
      <c r="P8" s="49"/>
      <c r="Q8" s="49"/>
    </row>
    <row r="9">
      <c r="A9" s="49"/>
      <c r="B9" s="209" t="s">
        <v>302</v>
      </c>
      <c r="C9" s="209" t="s">
        <v>303</v>
      </c>
      <c r="D9" s="209" t="s">
        <v>302</v>
      </c>
      <c r="E9" s="209" t="s">
        <v>303</v>
      </c>
      <c r="F9" s="209" t="s">
        <v>302</v>
      </c>
      <c r="G9" s="209" t="s">
        <v>303</v>
      </c>
      <c r="H9" s="209" t="s">
        <v>302</v>
      </c>
      <c r="I9" s="209" t="s">
        <v>303</v>
      </c>
      <c r="J9" s="209" t="s">
        <v>302</v>
      </c>
      <c r="K9" s="209" t="s">
        <v>303</v>
      </c>
      <c r="L9" s="209" t="s">
        <v>302</v>
      </c>
      <c r="M9" s="209" t="s">
        <v>303</v>
      </c>
      <c r="N9" s="209" t="s">
        <v>302</v>
      </c>
      <c r="O9" s="209" t="s">
        <v>303</v>
      </c>
      <c r="P9" s="49"/>
      <c r="Q9" s="49"/>
    </row>
    <row r="10">
      <c r="A10" s="49"/>
      <c r="B10" s="214"/>
      <c r="C10" s="215">
        <v>0.37430555555555556</v>
      </c>
      <c r="D10" s="214"/>
      <c r="E10" s="214"/>
      <c r="F10" s="214"/>
      <c r="G10" s="214"/>
      <c r="H10" s="214"/>
      <c r="I10" s="214"/>
      <c r="J10" s="214"/>
      <c r="K10" s="214"/>
      <c r="L10" s="214"/>
      <c r="M10" s="215"/>
      <c r="N10" s="214"/>
      <c r="O10" s="214"/>
      <c r="P10" s="3"/>
      <c r="Q10" s="3"/>
    </row>
    <row r="11">
      <c r="A11" s="216" t="s">
        <v>304</v>
      </c>
      <c r="B11" s="217" t="s">
        <v>305</v>
      </c>
      <c r="C11" s="24"/>
      <c r="D11" s="217" t="s">
        <v>305</v>
      </c>
      <c r="E11" s="24"/>
      <c r="F11" s="217" t="s">
        <v>305</v>
      </c>
      <c r="G11" s="24"/>
      <c r="H11" s="217" t="s">
        <v>305</v>
      </c>
      <c r="I11" s="24"/>
      <c r="J11" s="217" t="s">
        <v>305</v>
      </c>
      <c r="K11" s="24"/>
      <c r="L11" s="217" t="s">
        <v>305</v>
      </c>
      <c r="M11" s="24"/>
      <c r="N11" s="217" t="s">
        <v>305</v>
      </c>
      <c r="O11" s="24"/>
      <c r="P11" s="218" t="s">
        <v>306</v>
      </c>
      <c r="Q11" s="24"/>
    </row>
    <row r="12">
      <c r="A12" s="49"/>
      <c r="B12" s="219"/>
      <c r="C12" s="24"/>
      <c r="D12" s="219"/>
      <c r="E12" s="24"/>
      <c r="F12" s="219"/>
      <c r="G12" s="24"/>
      <c r="H12" s="219"/>
      <c r="I12" s="24"/>
      <c r="J12" s="219"/>
      <c r="K12" s="24"/>
      <c r="L12" s="219"/>
      <c r="M12" s="24"/>
      <c r="N12" s="219"/>
      <c r="O12" s="24"/>
      <c r="P12" s="219"/>
      <c r="Q12" s="24"/>
    </row>
    <row r="13" ht="23.25" customHeight="1">
      <c r="A13" s="49"/>
      <c r="B13" s="220" t="s">
        <v>307</v>
      </c>
      <c r="C13" s="221" t="b">
        <v>1</v>
      </c>
      <c r="D13" s="222" t="s">
        <v>307</v>
      </c>
      <c r="E13" s="223" t="b">
        <v>0</v>
      </c>
      <c r="F13" s="220" t="s">
        <v>307</v>
      </c>
      <c r="G13" s="223" t="b">
        <v>0</v>
      </c>
      <c r="H13" s="220" t="s">
        <v>307</v>
      </c>
      <c r="I13" s="223" t="b">
        <v>0</v>
      </c>
      <c r="J13" s="220" t="s">
        <v>307</v>
      </c>
      <c r="K13" s="223" t="b">
        <v>0</v>
      </c>
      <c r="L13" s="220" t="s">
        <v>307</v>
      </c>
      <c r="M13" s="223" t="b">
        <v>0</v>
      </c>
      <c r="N13" s="220" t="s">
        <v>307</v>
      </c>
      <c r="O13" s="221" t="b">
        <v>0</v>
      </c>
      <c r="P13" s="224">
        <f t="shared" ref="P13:P14" si="1">COUNTIF(B13:O13,True)/COUNTA(B13:O13)%/50</f>
        <v>0.1428571429</v>
      </c>
      <c r="Q13" s="225" t="s">
        <v>308</v>
      </c>
    </row>
    <row r="14" ht="21.0" customHeight="1">
      <c r="A14" s="49"/>
      <c r="B14" s="220" t="s">
        <v>309</v>
      </c>
      <c r="C14" s="221" t="b">
        <v>1</v>
      </c>
      <c r="D14" s="220" t="s">
        <v>309</v>
      </c>
      <c r="E14" s="221" t="b">
        <v>0</v>
      </c>
      <c r="F14" s="220" t="s">
        <v>309</v>
      </c>
      <c r="G14" s="223" t="b">
        <v>0</v>
      </c>
      <c r="H14" s="220" t="s">
        <v>309</v>
      </c>
      <c r="I14" s="223" t="b">
        <v>0</v>
      </c>
      <c r="J14" s="220" t="s">
        <v>309</v>
      </c>
      <c r="K14" s="223" t="b">
        <v>0</v>
      </c>
      <c r="L14" s="220" t="s">
        <v>309</v>
      </c>
      <c r="M14" s="223" t="b">
        <v>0</v>
      </c>
      <c r="N14" s="220" t="s">
        <v>309</v>
      </c>
      <c r="O14" s="223" t="b">
        <v>0</v>
      </c>
      <c r="P14" s="224">
        <f t="shared" si="1"/>
        <v>0.1428571429</v>
      </c>
      <c r="Q14" s="3"/>
    </row>
    <row r="15" ht="22.5" customHeight="1">
      <c r="A15" s="49"/>
      <c r="B15" s="226" t="s">
        <v>310</v>
      </c>
      <c r="C15" s="227" t="s">
        <v>52</v>
      </c>
      <c r="D15" s="226" t="s">
        <v>310</v>
      </c>
      <c r="E15" s="227"/>
      <c r="F15" s="226" t="s">
        <v>310</v>
      </c>
      <c r="G15" s="227"/>
      <c r="H15" s="226" t="s">
        <v>310</v>
      </c>
      <c r="I15" s="227"/>
      <c r="J15" s="226" t="s">
        <v>310</v>
      </c>
      <c r="K15" s="227"/>
      <c r="L15" s="226" t="s">
        <v>310</v>
      </c>
      <c r="M15" s="227"/>
      <c r="N15" s="226" t="s">
        <v>310</v>
      </c>
      <c r="O15" s="227"/>
      <c r="P15" s="228">
        <f>COUNTIF(B15:O15,"Yes")</f>
        <v>1</v>
      </c>
      <c r="Q15" s="229" t="s">
        <v>311</v>
      </c>
    </row>
    <row r="16" ht="24.0" customHeight="1">
      <c r="A16" s="3"/>
      <c r="B16" s="230" t="s">
        <v>312</v>
      </c>
      <c r="C16" s="231">
        <v>3.0</v>
      </c>
      <c r="D16" s="230" t="s">
        <v>312</v>
      </c>
      <c r="E16" s="231"/>
      <c r="F16" s="230" t="s">
        <v>312</v>
      </c>
      <c r="G16" s="231"/>
      <c r="H16" s="230" t="s">
        <v>312</v>
      </c>
      <c r="I16" s="231"/>
      <c r="J16" s="230" t="s">
        <v>312</v>
      </c>
      <c r="K16" s="231"/>
      <c r="L16" s="230" t="s">
        <v>312</v>
      </c>
      <c r="M16" s="231"/>
      <c r="N16" s="230" t="s">
        <v>312</v>
      </c>
      <c r="O16" s="231"/>
      <c r="P16" s="232">
        <f>SUM(C16,E16,G16,I16,K16,M16,O16)/7</f>
        <v>0.4285714286</v>
      </c>
      <c r="Q16" s="230" t="s">
        <v>313</v>
      </c>
    </row>
    <row r="17" ht="10.5" customHeight="1">
      <c r="A17" s="233"/>
      <c r="B17" s="55"/>
      <c r="C17" s="55"/>
      <c r="D17" s="55"/>
      <c r="E17" s="55"/>
      <c r="F17" s="55"/>
      <c r="G17" s="55"/>
      <c r="H17" s="55"/>
      <c r="I17" s="55"/>
      <c r="J17" s="55"/>
      <c r="K17" s="55"/>
      <c r="L17" s="55"/>
      <c r="M17" s="55"/>
      <c r="N17" s="55"/>
      <c r="O17" s="55"/>
      <c r="P17" s="55"/>
      <c r="Q17" s="54"/>
    </row>
    <row r="18">
      <c r="A18" s="204" t="s">
        <v>294</v>
      </c>
      <c r="B18" s="205">
        <v>46034.0</v>
      </c>
      <c r="C18" s="24"/>
      <c r="D18" s="205">
        <v>46035.0</v>
      </c>
      <c r="E18" s="24"/>
      <c r="F18" s="205">
        <v>46036.0</v>
      </c>
      <c r="G18" s="24"/>
      <c r="H18" s="205">
        <v>46037.0</v>
      </c>
      <c r="I18" s="24"/>
      <c r="J18" s="205">
        <v>46038.0</v>
      </c>
      <c r="K18" s="24"/>
      <c r="L18" s="205">
        <v>46039.0</v>
      </c>
      <c r="M18" s="24"/>
      <c r="N18" s="205">
        <v>46040.0</v>
      </c>
      <c r="O18" s="24"/>
      <c r="P18" s="202" t="s">
        <v>287</v>
      </c>
      <c r="Q18" s="202" t="s">
        <v>288</v>
      </c>
    </row>
    <row r="19">
      <c r="A19" s="49"/>
      <c r="B19" s="208">
        <v>5.0</v>
      </c>
      <c r="C19" s="209" t="s">
        <v>295</v>
      </c>
      <c r="D19" s="210">
        <v>8.0</v>
      </c>
      <c r="E19" s="209" t="s">
        <v>295</v>
      </c>
      <c r="F19" s="208">
        <v>5.0</v>
      </c>
      <c r="G19" s="209" t="s">
        <v>295</v>
      </c>
      <c r="H19" s="210">
        <v>4.0</v>
      </c>
      <c r="I19" s="209" t="s">
        <v>295</v>
      </c>
      <c r="J19" s="210">
        <v>0.0</v>
      </c>
      <c r="K19" s="209" t="s">
        <v>295</v>
      </c>
      <c r="L19" s="210">
        <v>13.0</v>
      </c>
      <c r="M19" s="209" t="s">
        <v>295</v>
      </c>
      <c r="N19" s="208">
        <v>5.0</v>
      </c>
      <c r="O19" s="209" t="s">
        <v>295</v>
      </c>
      <c r="P19" s="54"/>
      <c r="Q19" s="54"/>
    </row>
    <row r="20">
      <c r="A20" s="49"/>
      <c r="B20" s="211" t="s">
        <v>296</v>
      </c>
      <c r="C20" s="212"/>
      <c r="D20" s="213" t="s">
        <v>314</v>
      </c>
      <c r="E20" s="212"/>
      <c r="F20" s="211" t="s">
        <v>296</v>
      </c>
      <c r="G20" s="212"/>
      <c r="H20" s="213" t="s">
        <v>315</v>
      </c>
      <c r="I20" s="212"/>
      <c r="J20" s="213" t="s">
        <v>300</v>
      </c>
      <c r="K20" s="212"/>
      <c r="L20" s="213" t="s">
        <v>301</v>
      </c>
      <c r="M20" s="212"/>
      <c r="N20" s="211" t="s">
        <v>296</v>
      </c>
      <c r="O20" s="212"/>
      <c r="P20" s="206">
        <f>SUM(B19,D19,F19,H19,J19,L19,N19)</f>
        <v>40</v>
      </c>
      <c r="Q20" s="234"/>
    </row>
    <row r="21">
      <c r="A21" s="49"/>
      <c r="B21" s="209" t="s">
        <v>302</v>
      </c>
      <c r="C21" s="209" t="s">
        <v>303</v>
      </c>
      <c r="D21" s="209" t="s">
        <v>302</v>
      </c>
      <c r="E21" s="209" t="s">
        <v>303</v>
      </c>
      <c r="F21" s="209" t="s">
        <v>302</v>
      </c>
      <c r="G21" s="209" t="s">
        <v>303</v>
      </c>
      <c r="H21" s="209" t="s">
        <v>302</v>
      </c>
      <c r="I21" s="209" t="s">
        <v>303</v>
      </c>
      <c r="J21" s="209" t="s">
        <v>302</v>
      </c>
      <c r="K21" s="209" t="s">
        <v>303</v>
      </c>
      <c r="L21" s="209" t="s">
        <v>302</v>
      </c>
      <c r="M21" s="209" t="s">
        <v>303</v>
      </c>
      <c r="N21" s="209" t="s">
        <v>302</v>
      </c>
      <c r="O21" s="209" t="s">
        <v>303</v>
      </c>
      <c r="P21" s="49"/>
      <c r="Q21" s="49"/>
    </row>
    <row r="22">
      <c r="A22" s="49"/>
      <c r="B22" s="214"/>
      <c r="C22" s="214"/>
      <c r="D22" s="214"/>
      <c r="E22" s="214"/>
      <c r="F22" s="214"/>
      <c r="G22" s="214"/>
      <c r="H22" s="214"/>
      <c r="I22" s="214"/>
      <c r="J22" s="214"/>
      <c r="K22" s="214"/>
      <c r="L22" s="214"/>
      <c r="M22" s="215"/>
      <c r="N22" s="214"/>
      <c r="O22" s="214"/>
      <c r="P22" s="3"/>
      <c r="Q22" s="3"/>
    </row>
    <row r="23">
      <c r="A23" s="216" t="s">
        <v>304</v>
      </c>
      <c r="B23" s="217" t="s">
        <v>305</v>
      </c>
      <c r="C23" s="24"/>
      <c r="D23" s="217" t="s">
        <v>305</v>
      </c>
      <c r="E23" s="24"/>
      <c r="F23" s="217" t="s">
        <v>305</v>
      </c>
      <c r="G23" s="24"/>
      <c r="H23" s="217" t="s">
        <v>305</v>
      </c>
      <c r="I23" s="24"/>
      <c r="J23" s="217" t="s">
        <v>305</v>
      </c>
      <c r="K23" s="24"/>
      <c r="L23" s="217" t="s">
        <v>305</v>
      </c>
      <c r="M23" s="24"/>
      <c r="N23" s="217" t="s">
        <v>305</v>
      </c>
      <c r="O23" s="24"/>
      <c r="P23" s="218" t="s">
        <v>306</v>
      </c>
      <c r="Q23" s="24"/>
    </row>
    <row r="24">
      <c r="A24" s="49"/>
      <c r="B24" s="219"/>
      <c r="C24" s="24"/>
      <c r="D24" s="219"/>
      <c r="E24" s="24"/>
      <c r="F24" s="219"/>
      <c r="G24" s="24"/>
      <c r="H24" s="219"/>
      <c r="I24" s="24"/>
      <c r="J24" s="219"/>
      <c r="K24" s="24"/>
      <c r="L24" s="219"/>
      <c r="M24" s="24"/>
      <c r="N24" s="219"/>
      <c r="O24" s="24"/>
      <c r="P24" s="219"/>
      <c r="Q24" s="24"/>
    </row>
    <row r="25" ht="22.5" customHeight="1">
      <c r="A25" s="49"/>
      <c r="B25" s="220" t="s">
        <v>307</v>
      </c>
      <c r="C25" s="221" t="b">
        <v>0</v>
      </c>
      <c r="D25" s="220" t="s">
        <v>307</v>
      </c>
      <c r="E25" s="223" t="b">
        <v>0</v>
      </c>
      <c r="F25" s="220" t="s">
        <v>307</v>
      </c>
      <c r="G25" s="223" t="b">
        <v>0</v>
      </c>
      <c r="H25" s="220" t="s">
        <v>307</v>
      </c>
      <c r="I25" s="223" t="b">
        <v>0</v>
      </c>
      <c r="J25" s="222" t="s">
        <v>307</v>
      </c>
      <c r="K25" s="223" t="b">
        <v>0</v>
      </c>
      <c r="L25" s="220" t="s">
        <v>307</v>
      </c>
      <c r="M25" s="223" t="b">
        <v>0</v>
      </c>
      <c r="N25" s="220" t="s">
        <v>307</v>
      </c>
      <c r="O25" s="223" t="b">
        <v>0</v>
      </c>
      <c r="P25" s="224">
        <f t="shared" ref="P25:P26" si="2">COUNTIF(B25:O25,True)/COUNTA(B25:O25)%/50</f>
        <v>0</v>
      </c>
      <c r="Q25" s="225" t="s">
        <v>308</v>
      </c>
    </row>
    <row r="26" ht="24.75" customHeight="1">
      <c r="A26" s="49"/>
      <c r="B26" s="220" t="s">
        <v>309</v>
      </c>
      <c r="C26" s="221" t="b">
        <v>0</v>
      </c>
      <c r="D26" s="220" t="s">
        <v>309</v>
      </c>
      <c r="E26" s="221" t="b">
        <v>0</v>
      </c>
      <c r="F26" s="220" t="s">
        <v>309</v>
      </c>
      <c r="G26" s="223" t="b">
        <v>0</v>
      </c>
      <c r="H26" s="220" t="s">
        <v>309</v>
      </c>
      <c r="I26" s="223" t="b">
        <v>0</v>
      </c>
      <c r="J26" s="220" t="s">
        <v>309</v>
      </c>
      <c r="K26" s="223" t="b">
        <v>0</v>
      </c>
      <c r="L26" s="220" t="s">
        <v>309</v>
      </c>
      <c r="M26" s="223" t="b">
        <v>0</v>
      </c>
      <c r="N26" s="220" t="s">
        <v>309</v>
      </c>
      <c r="O26" s="223" t="b">
        <v>0</v>
      </c>
      <c r="P26" s="224">
        <f t="shared" si="2"/>
        <v>0</v>
      </c>
      <c r="Q26" s="3"/>
    </row>
    <row r="27" ht="22.5" customHeight="1">
      <c r="A27" s="49"/>
      <c r="B27" s="226" t="s">
        <v>310</v>
      </c>
      <c r="C27" s="227"/>
      <c r="D27" s="226" t="s">
        <v>310</v>
      </c>
      <c r="E27" s="227"/>
      <c r="F27" s="226" t="s">
        <v>310</v>
      </c>
      <c r="G27" s="227"/>
      <c r="H27" s="226" t="s">
        <v>310</v>
      </c>
      <c r="I27" s="227"/>
      <c r="J27" s="226" t="s">
        <v>310</v>
      </c>
      <c r="K27" s="227"/>
      <c r="L27" s="226" t="s">
        <v>310</v>
      </c>
      <c r="M27" s="227"/>
      <c r="N27" s="226" t="s">
        <v>310</v>
      </c>
      <c r="O27" s="227"/>
      <c r="P27" s="228">
        <f>COUNTIF(B27:O27,"Yes")</f>
        <v>0</v>
      </c>
      <c r="Q27" s="229" t="s">
        <v>311</v>
      </c>
    </row>
    <row r="28" ht="24.0" customHeight="1">
      <c r="A28" s="3"/>
      <c r="B28" s="230" t="s">
        <v>312</v>
      </c>
      <c r="C28" s="231"/>
      <c r="D28" s="230" t="s">
        <v>312</v>
      </c>
      <c r="E28" s="231"/>
      <c r="F28" s="230" t="s">
        <v>312</v>
      </c>
      <c r="G28" s="231"/>
      <c r="H28" s="230" t="s">
        <v>312</v>
      </c>
      <c r="I28" s="231"/>
      <c r="J28" s="230" t="s">
        <v>312</v>
      </c>
      <c r="K28" s="231"/>
      <c r="L28" s="230" t="s">
        <v>312</v>
      </c>
      <c r="M28" s="231"/>
      <c r="N28" s="230" t="s">
        <v>312</v>
      </c>
      <c r="O28" s="231"/>
      <c r="P28" s="232">
        <f>SUM(C28,E28,G28,I28,K28,M28,O28)/7</f>
        <v>0</v>
      </c>
      <c r="Q28" s="230" t="s">
        <v>313</v>
      </c>
    </row>
    <row r="29" ht="10.5" customHeight="1">
      <c r="A29" s="233"/>
      <c r="B29" s="55"/>
      <c r="C29" s="55"/>
      <c r="D29" s="55"/>
      <c r="E29" s="55"/>
      <c r="F29" s="55"/>
      <c r="G29" s="55"/>
      <c r="H29" s="55"/>
      <c r="I29" s="55"/>
      <c r="J29" s="55"/>
      <c r="K29" s="55"/>
      <c r="L29" s="55"/>
      <c r="M29" s="55"/>
      <c r="N29" s="55"/>
      <c r="O29" s="55"/>
      <c r="P29" s="55"/>
      <c r="Q29" s="54"/>
    </row>
    <row r="30">
      <c r="A30" s="204" t="s">
        <v>316</v>
      </c>
      <c r="B30" s="205">
        <v>46041.0</v>
      </c>
      <c r="C30" s="24"/>
      <c r="D30" s="205">
        <v>46042.0</v>
      </c>
      <c r="E30" s="24"/>
      <c r="F30" s="205">
        <v>46043.0</v>
      </c>
      <c r="G30" s="24"/>
      <c r="H30" s="205">
        <v>46044.0</v>
      </c>
      <c r="I30" s="24"/>
      <c r="J30" s="205">
        <v>46045.0</v>
      </c>
      <c r="K30" s="24"/>
      <c r="L30" s="205">
        <v>46046.0</v>
      </c>
      <c r="M30" s="24"/>
      <c r="N30" s="205">
        <v>46047.0</v>
      </c>
      <c r="O30" s="24"/>
      <c r="P30" s="202" t="s">
        <v>287</v>
      </c>
      <c r="Q30" s="202" t="s">
        <v>288</v>
      </c>
    </row>
    <row r="31">
      <c r="A31" s="49"/>
      <c r="B31" s="208">
        <v>3.0</v>
      </c>
      <c r="C31" s="209" t="s">
        <v>295</v>
      </c>
      <c r="D31" s="210">
        <v>8.0</v>
      </c>
      <c r="E31" s="209" t="s">
        <v>295</v>
      </c>
      <c r="F31" s="208">
        <v>3.0</v>
      </c>
      <c r="G31" s="209" t="s">
        <v>295</v>
      </c>
      <c r="H31" s="210">
        <v>5.0</v>
      </c>
      <c r="I31" s="209" t="s">
        <v>295</v>
      </c>
      <c r="J31" s="210">
        <v>0.0</v>
      </c>
      <c r="K31" s="209" t="s">
        <v>295</v>
      </c>
      <c r="L31" s="210">
        <v>10.0</v>
      </c>
      <c r="M31" s="209" t="s">
        <v>295</v>
      </c>
      <c r="N31" s="208">
        <v>3.0</v>
      </c>
      <c r="O31" s="209" t="s">
        <v>295</v>
      </c>
      <c r="P31" s="54"/>
      <c r="Q31" s="54"/>
    </row>
    <row r="32">
      <c r="A32" s="49"/>
      <c r="B32" s="235" t="s">
        <v>317</v>
      </c>
      <c r="C32" s="212"/>
      <c r="D32" s="213" t="s">
        <v>318</v>
      </c>
      <c r="E32" s="212"/>
      <c r="F32" s="235" t="s">
        <v>317</v>
      </c>
      <c r="G32" s="212"/>
      <c r="H32" s="213" t="s">
        <v>299</v>
      </c>
      <c r="I32" s="212"/>
      <c r="J32" s="213" t="s">
        <v>300</v>
      </c>
      <c r="K32" s="212"/>
      <c r="L32" s="213" t="s">
        <v>319</v>
      </c>
      <c r="M32" s="212"/>
      <c r="N32" s="235" t="s">
        <v>317</v>
      </c>
      <c r="O32" s="212"/>
      <c r="P32" s="206">
        <f>SUM(B31,D31,F31,H31,J31,L31,N31)</f>
        <v>32</v>
      </c>
      <c r="Q32" s="234"/>
    </row>
    <row r="33">
      <c r="A33" s="49"/>
      <c r="B33" s="209" t="s">
        <v>302</v>
      </c>
      <c r="C33" s="209" t="s">
        <v>303</v>
      </c>
      <c r="D33" s="209" t="s">
        <v>302</v>
      </c>
      <c r="E33" s="209" t="s">
        <v>303</v>
      </c>
      <c r="F33" s="209" t="s">
        <v>302</v>
      </c>
      <c r="G33" s="209" t="s">
        <v>303</v>
      </c>
      <c r="H33" s="209" t="s">
        <v>302</v>
      </c>
      <c r="I33" s="209" t="s">
        <v>303</v>
      </c>
      <c r="J33" s="209" t="s">
        <v>302</v>
      </c>
      <c r="K33" s="209" t="s">
        <v>303</v>
      </c>
      <c r="L33" s="209" t="s">
        <v>302</v>
      </c>
      <c r="M33" s="209" t="s">
        <v>303</v>
      </c>
      <c r="N33" s="209" t="s">
        <v>302</v>
      </c>
      <c r="O33" s="209" t="s">
        <v>303</v>
      </c>
      <c r="P33" s="49"/>
      <c r="Q33" s="49"/>
    </row>
    <row r="34">
      <c r="A34" s="49"/>
      <c r="B34" s="214"/>
      <c r="C34" s="214"/>
      <c r="D34" s="214"/>
      <c r="E34" s="214"/>
      <c r="F34" s="214"/>
      <c r="G34" s="214"/>
      <c r="H34" s="214"/>
      <c r="I34" s="214"/>
      <c r="J34" s="214"/>
      <c r="K34" s="214"/>
      <c r="L34" s="214"/>
      <c r="M34" s="215"/>
      <c r="N34" s="214"/>
      <c r="O34" s="214"/>
      <c r="P34" s="3"/>
      <c r="Q34" s="3"/>
    </row>
    <row r="35">
      <c r="A35" s="216" t="s">
        <v>320</v>
      </c>
      <c r="B35" s="217" t="s">
        <v>305</v>
      </c>
      <c r="C35" s="24"/>
      <c r="D35" s="217" t="s">
        <v>305</v>
      </c>
      <c r="E35" s="24"/>
      <c r="F35" s="217" t="s">
        <v>305</v>
      </c>
      <c r="G35" s="24"/>
      <c r="H35" s="217" t="s">
        <v>305</v>
      </c>
      <c r="I35" s="24"/>
      <c r="J35" s="217" t="s">
        <v>305</v>
      </c>
      <c r="K35" s="24"/>
      <c r="L35" s="217" t="s">
        <v>305</v>
      </c>
      <c r="M35" s="24"/>
      <c r="N35" s="217" t="s">
        <v>305</v>
      </c>
      <c r="O35" s="24"/>
      <c r="P35" s="218" t="s">
        <v>306</v>
      </c>
      <c r="Q35" s="24"/>
    </row>
    <row r="36">
      <c r="A36" s="49"/>
      <c r="B36" s="219"/>
      <c r="C36" s="24"/>
      <c r="D36" s="219"/>
      <c r="E36" s="24"/>
      <c r="F36" s="219"/>
      <c r="G36" s="24"/>
      <c r="H36" s="219"/>
      <c r="I36" s="24"/>
      <c r="J36" s="219"/>
      <c r="K36" s="24"/>
      <c r="L36" s="219"/>
      <c r="M36" s="24"/>
      <c r="N36" s="219"/>
      <c r="O36" s="24"/>
      <c r="P36" s="219"/>
      <c r="Q36" s="24"/>
    </row>
    <row r="37" ht="22.5" customHeight="1">
      <c r="A37" s="49"/>
      <c r="B37" s="220" t="s">
        <v>307</v>
      </c>
      <c r="C37" s="221" t="b">
        <v>0</v>
      </c>
      <c r="D37" s="220" t="s">
        <v>307</v>
      </c>
      <c r="E37" s="223" t="b">
        <v>0</v>
      </c>
      <c r="F37" s="220" t="s">
        <v>307</v>
      </c>
      <c r="G37" s="223" t="b">
        <v>0</v>
      </c>
      <c r="H37" s="220" t="s">
        <v>307</v>
      </c>
      <c r="I37" s="223" t="b">
        <v>0</v>
      </c>
      <c r="J37" s="220" t="s">
        <v>307</v>
      </c>
      <c r="K37" s="223" t="b">
        <v>0</v>
      </c>
      <c r="L37" s="220" t="s">
        <v>307</v>
      </c>
      <c r="M37" s="223" t="b">
        <v>0</v>
      </c>
      <c r="N37" s="220" t="s">
        <v>307</v>
      </c>
      <c r="O37" s="223" t="b">
        <v>0</v>
      </c>
      <c r="P37" s="224">
        <f t="shared" ref="P37:P38" si="3">COUNTIF(B37:O37,True)/COUNTA(B37:O37)%/50</f>
        <v>0</v>
      </c>
      <c r="Q37" s="225" t="s">
        <v>308</v>
      </c>
    </row>
    <row r="38" ht="24.75" customHeight="1">
      <c r="A38" s="49"/>
      <c r="B38" s="220" t="s">
        <v>309</v>
      </c>
      <c r="C38" s="221" t="b">
        <v>0</v>
      </c>
      <c r="D38" s="220" t="s">
        <v>309</v>
      </c>
      <c r="E38" s="221" t="b">
        <v>0</v>
      </c>
      <c r="F38" s="220" t="s">
        <v>309</v>
      </c>
      <c r="G38" s="223" t="b">
        <v>0</v>
      </c>
      <c r="H38" s="220" t="s">
        <v>309</v>
      </c>
      <c r="I38" s="223" t="b">
        <v>0</v>
      </c>
      <c r="J38" s="220" t="s">
        <v>309</v>
      </c>
      <c r="K38" s="223" t="b">
        <v>0</v>
      </c>
      <c r="L38" s="220" t="s">
        <v>309</v>
      </c>
      <c r="M38" s="223" t="b">
        <v>0</v>
      </c>
      <c r="N38" s="220" t="s">
        <v>309</v>
      </c>
      <c r="O38" s="223" t="b">
        <v>0</v>
      </c>
      <c r="P38" s="224">
        <f t="shared" si="3"/>
        <v>0</v>
      </c>
      <c r="Q38" s="3"/>
    </row>
    <row r="39" ht="23.25" customHeight="1">
      <c r="A39" s="49"/>
      <c r="B39" s="226" t="s">
        <v>310</v>
      </c>
      <c r="C39" s="227"/>
      <c r="D39" s="226" t="s">
        <v>310</v>
      </c>
      <c r="E39" s="227"/>
      <c r="F39" s="226" t="s">
        <v>310</v>
      </c>
      <c r="G39" s="227"/>
      <c r="H39" s="226" t="s">
        <v>310</v>
      </c>
      <c r="I39" s="227"/>
      <c r="J39" s="226" t="s">
        <v>310</v>
      </c>
      <c r="K39" s="227"/>
      <c r="L39" s="226" t="s">
        <v>310</v>
      </c>
      <c r="M39" s="227"/>
      <c r="N39" s="226" t="s">
        <v>310</v>
      </c>
      <c r="O39" s="227"/>
      <c r="P39" s="228">
        <f>COUNTIF(B39:O39,"Yes")</f>
        <v>0</v>
      </c>
      <c r="Q39" s="229" t="s">
        <v>311</v>
      </c>
    </row>
    <row r="40" ht="24.0" customHeight="1">
      <c r="A40" s="3"/>
      <c r="B40" s="230" t="s">
        <v>312</v>
      </c>
      <c r="C40" s="231"/>
      <c r="D40" s="230" t="s">
        <v>312</v>
      </c>
      <c r="E40" s="231"/>
      <c r="F40" s="230" t="s">
        <v>312</v>
      </c>
      <c r="G40" s="231"/>
      <c r="H40" s="230" t="s">
        <v>312</v>
      </c>
      <c r="I40" s="231"/>
      <c r="J40" s="230" t="s">
        <v>312</v>
      </c>
      <c r="K40" s="231"/>
      <c r="L40" s="230" t="s">
        <v>312</v>
      </c>
      <c r="M40" s="231"/>
      <c r="N40" s="230" t="s">
        <v>312</v>
      </c>
      <c r="O40" s="231"/>
      <c r="P40" s="232">
        <f>SUM(C40,E40,G40,I40,K40,M40,O40)/7</f>
        <v>0</v>
      </c>
      <c r="Q40" s="230" t="s">
        <v>313</v>
      </c>
    </row>
    <row r="41" ht="10.5" customHeight="1">
      <c r="A41" s="233"/>
      <c r="B41" s="55"/>
      <c r="C41" s="55"/>
      <c r="D41" s="55"/>
      <c r="E41" s="55"/>
      <c r="F41" s="55"/>
      <c r="G41" s="55"/>
      <c r="H41" s="55"/>
      <c r="I41" s="55"/>
      <c r="J41" s="55"/>
      <c r="K41" s="55"/>
      <c r="L41" s="55"/>
      <c r="M41" s="55"/>
      <c r="N41" s="55"/>
      <c r="O41" s="55"/>
      <c r="P41" s="55"/>
      <c r="Q41" s="54"/>
    </row>
    <row r="42">
      <c r="A42" s="204" t="s">
        <v>321</v>
      </c>
      <c r="B42" s="205">
        <v>46048.0</v>
      </c>
      <c r="C42" s="24"/>
      <c r="D42" s="205">
        <v>46049.0</v>
      </c>
      <c r="E42" s="24"/>
      <c r="F42" s="205">
        <v>46050.0</v>
      </c>
      <c r="G42" s="24"/>
      <c r="H42" s="205">
        <v>46051.0</v>
      </c>
      <c r="I42" s="24"/>
      <c r="J42" s="205">
        <v>46052.0</v>
      </c>
      <c r="K42" s="24"/>
      <c r="L42" s="205">
        <v>46053.0</v>
      </c>
      <c r="M42" s="24"/>
      <c r="N42" s="205">
        <v>46054.0</v>
      </c>
      <c r="O42" s="24"/>
      <c r="P42" s="202" t="s">
        <v>287</v>
      </c>
      <c r="Q42" s="202" t="s">
        <v>288</v>
      </c>
    </row>
    <row r="43">
      <c r="A43" s="49"/>
      <c r="B43" s="208">
        <v>5.0</v>
      </c>
      <c r="C43" s="209" t="s">
        <v>295</v>
      </c>
      <c r="D43" s="210">
        <v>9.0</v>
      </c>
      <c r="E43" s="209" t="s">
        <v>295</v>
      </c>
      <c r="F43" s="208">
        <v>5.0</v>
      </c>
      <c r="G43" s="209" t="s">
        <v>295</v>
      </c>
      <c r="H43" s="210">
        <v>4.0</v>
      </c>
      <c r="I43" s="209" t="s">
        <v>295</v>
      </c>
      <c r="J43" s="210">
        <v>0.0</v>
      </c>
      <c r="K43" s="209" t="s">
        <v>295</v>
      </c>
      <c r="L43" s="210">
        <v>15.0</v>
      </c>
      <c r="M43" s="209" t="s">
        <v>295</v>
      </c>
      <c r="N43" s="208">
        <v>5.0</v>
      </c>
      <c r="O43" s="209" t="s">
        <v>295</v>
      </c>
      <c r="P43" s="54"/>
      <c r="Q43" s="54"/>
    </row>
    <row r="44">
      <c r="A44" s="49"/>
      <c r="B44" s="211" t="s">
        <v>296</v>
      </c>
      <c r="C44" s="212"/>
      <c r="D44" s="213" t="s">
        <v>322</v>
      </c>
      <c r="E44" s="212"/>
      <c r="F44" s="211" t="s">
        <v>296</v>
      </c>
      <c r="G44" s="212"/>
      <c r="H44" s="213" t="s">
        <v>323</v>
      </c>
      <c r="I44" s="212"/>
      <c r="J44" s="213" t="s">
        <v>300</v>
      </c>
      <c r="K44" s="212"/>
      <c r="L44" s="213" t="s">
        <v>301</v>
      </c>
      <c r="M44" s="212"/>
      <c r="N44" s="211" t="s">
        <v>296</v>
      </c>
      <c r="O44" s="212"/>
      <c r="P44" s="206">
        <f>SUM(B43,D43,F43,H43,J43,L43,N43)</f>
        <v>43</v>
      </c>
      <c r="Q44" s="234"/>
    </row>
    <row r="45">
      <c r="A45" s="49"/>
      <c r="B45" s="209" t="s">
        <v>302</v>
      </c>
      <c r="C45" s="209" t="s">
        <v>303</v>
      </c>
      <c r="D45" s="209" t="s">
        <v>302</v>
      </c>
      <c r="E45" s="209" t="s">
        <v>303</v>
      </c>
      <c r="F45" s="209" t="s">
        <v>302</v>
      </c>
      <c r="G45" s="209" t="s">
        <v>303</v>
      </c>
      <c r="H45" s="209" t="s">
        <v>302</v>
      </c>
      <c r="I45" s="209" t="s">
        <v>303</v>
      </c>
      <c r="J45" s="209" t="s">
        <v>302</v>
      </c>
      <c r="K45" s="209" t="s">
        <v>303</v>
      </c>
      <c r="L45" s="209" t="s">
        <v>302</v>
      </c>
      <c r="M45" s="209" t="s">
        <v>303</v>
      </c>
      <c r="N45" s="209" t="s">
        <v>302</v>
      </c>
      <c r="O45" s="209" t="s">
        <v>303</v>
      </c>
      <c r="P45" s="49"/>
      <c r="Q45" s="49"/>
    </row>
    <row r="46">
      <c r="A46" s="49"/>
      <c r="B46" s="214"/>
      <c r="C46" s="214"/>
      <c r="D46" s="214"/>
      <c r="E46" s="214"/>
      <c r="F46" s="214"/>
      <c r="G46" s="214"/>
      <c r="H46" s="214"/>
      <c r="I46" s="214"/>
      <c r="J46" s="214"/>
      <c r="K46" s="214"/>
      <c r="L46" s="214"/>
      <c r="M46" s="215"/>
      <c r="N46" s="214"/>
      <c r="O46" s="214"/>
      <c r="P46" s="3"/>
      <c r="Q46" s="3"/>
    </row>
    <row r="47">
      <c r="A47" s="216" t="s">
        <v>324</v>
      </c>
      <c r="B47" s="217" t="s">
        <v>305</v>
      </c>
      <c r="C47" s="24"/>
      <c r="D47" s="217" t="s">
        <v>305</v>
      </c>
      <c r="E47" s="24"/>
      <c r="F47" s="217" t="s">
        <v>305</v>
      </c>
      <c r="G47" s="24"/>
      <c r="H47" s="217" t="s">
        <v>305</v>
      </c>
      <c r="I47" s="24"/>
      <c r="J47" s="217" t="s">
        <v>305</v>
      </c>
      <c r="K47" s="24"/>
      <c r="L47" s="217" t="s">
        <v>305</v>
      </c>
      <c r="M47" s="24"/>
      <c r="N47" s="217" t="s">
        <v>305</v>
      </c>
      <c r="O47" s="24"/>
      <c r="P47" s="218" t="s">
        <v>306</v>
      </c>
      <c r="Q47" s="24"/>
    </row>
    <row r="48">
      <c r="A48" s="49"/>
      <c r="B48" s="219"/>
      <c r="C48" s="24"/>
      <c r="D48" s="219"/>
      <c r="E48" s="24"/>
      <c r="F48" s="219"/>
      <c r="G48" s="24"/>
      <c r="H48" s="219"/>
      <c r="I48" s="24"/>
      <c r="J48" s="219"/>
      <c r="K48" s="24"/>
      <c r="L48" s="219"/>
      <c r="M48" s="24"/>
      <c r="N48" s="219"/>
      <c r="O48" s="24"/>
      <c r="P48" s="219"/>
      <c r="Q48" s="24"/>
    </row>
    <row r="49" ht="22.5" customHeight="1">
      <c r="A49" s="49"/>
      <c r="B49" s="220" t="s">
        <v>307</v>
      </c>
      <c r="C49" s="221" t="b">
        <v>0</v>
      </c>
      <c r="D49" s="220" t="s">
        <v>307</v>
      </c>
      <c r="E49" s="223" t="b">
        <v>0</v>
      </c>
      <c r="F49" s="220" t="s">
        <v>307</v>
      </c>
      <c r="G49" s="223" t="b">
        <v>0</v>
      </c>
      <c r="H49" s="220" t="s">
        <v>307</v>
      </c>
      <c r="I49" s="223" t="b">
        <v>0</v>
      </c>
      <c r="J49" s="220" t="s">
        <v>307</v>
      </c>
      <c r="K49" s="223" t="b">
        <v>0</v>
      </c>
      <c r="L49" s="220" t="s">
        <v>307</v>
      </c>
      <c r="M49" s="223" t="b">
        <v>0</v>
      </c>
      <c r="N49" s="220" t="s">
        <v>307</v>
      </c>
      <c r="O49" s="223" t="b">
        <v>0</v>
      </c>
      <c r="P49" s="224">
        <f t="shared" ref="P49:P50" si="4">COUNTIF(B49:O49,True)/COUNTA(B49:O49)%/50</f>
        <v>0</v>
      </c>
      <c r="Q49" s="225" t="s">
        <v>308</v>
      </c>
    </row>
    <row r="50" ht="24.75" customHeight="1">
      <c r="A50" s="49"/>
      <c r="B50" s="220" t="s">
        <v>309</v>
      </c>
      <c r="C50" s="221" t="b">
        <v>0</v>
      </c>
      <c r="D50" s="220" t="s">
        <v>309</v>
      </c>
      <c r="E50" s="221" t="b">
        <v>0</v>
      </c>
      <c r="F50" s="220" t="s">
        <v>309</v>
      </c>
      <c r="G50" s="223" t="b">
        <v>0</v>
      </c>
      <c r="H50" s="220" t="s">
        <v>309</v>
      </c>
      <c r="I50" s="223" t="b">
        <v>0</v>
      </c>
      <c r="J50" s="220" t="s">
        <v>309</v>
      </c>
      <c r="K50" s="223" t="b">
        <v>0</v>
      </c>
      <c r="L50" s="220" t="s">
        <v>309</v>
      </c>
      <c r="M50" s="223" t="b">
        <v>0</v>
      </c>
      <c r="N50" s="220" t="s">
        <v>309</v>
      </c>
      <c r="O50" s="223" t="b">
        <v>0</v>
      </c>
      <c r="P50" s="224">
        <f t="shared" si="4"/>
        <v>0</v>
      </c>
      <c r="Q50" s="3"/>
    </row>
    <row r="51" ht="22.5" customHeight="1">
      <c r="A51" s="49"/>
      <c r="B51" s="226" t="s">
        <v>310</v>
      </c>
      <c r="C51" s="227"/>
      <c r="D51" s="226" t="s">
        <v>310</v>
      </c>
      <c r="E51" s="227"/>
      <c r="F51" s="226" t="s">
        <v>310</v>
      </c>
      <c r="G51" s="227"/>
      <c r="H51" s="226" t="s">
        <v>310</v>
      </c>
      <c r="I51" s="227"/>
      <c r="J51" s="226" t="s">
        <v>310</v>
      </c>
      <c r="K51" s="227"/>
      <c r="L51" s="226" t="s">
        <v>310</v>
      </c>
      <c r="M51" s="227"/>
      <c r="N51" s="226" t="s">
        <v>310</v>
      </c>
      <c r="O51" s="227"/>
      <c r="P51" s="228">
        <f>COUNTIF(B51:O51,"Yes")</f>
        <v>0</v>
      </c>
      <c r="Q51" s="229" t="s">
        <v>311</v>
      </c>
    </row>
    <row r="52" ht="24.0" customHeight="1">
      <c r="A52" s="3"/>
      <c r="B52" s="230" t="s">
        <v>312</v>
      </c>
      <c r="C52" s="231"/>
      <c r="D52" s="230" t="s">
        <v>312</v>
      </c>
      <c r="E52" s="231"/>
      <c r="F52" s="230" t="s">
        <v>312</v>
      </c>
      <c r="G52" s="231"/>
      <c r="H52" s="230" t="s">
        <v>312</v>
      </c>
      <c r="I52" s="231"/>
      <c r="J52" s="230" t="s">
        <v>312</v>
      </c>
      <c r="K52" s="231"/>
      <c r="L52" s="230" t="s">
        <v>312</v>
      </c>
      <c r="M52" s="231"/>
      <c r="N52" s="230" t="s">
        <v>312</v>
      </c>
      <c r="O52" s="231"/>
      <c r="P52" s="232">
        <f>SUM(C52,E52,G52,I52,K52,M52,O52)/7</f>
        <v>0</v>
      </c>
      <c r="Q52" s="230" t="s">
        <v>313</v>
      </c>
    </row>
  </sheetData>
  <mergeCells count="145">
    <mergeCell ref="B18:C18"/>
    <mergeCell ref="B23:C23"/>
    <mergeCell ref="A47:A52"/>
    <mergeCell ref="B47:C47"/>
    <mergeCell ref="D47:E47"/>
    <mergeCell ref="B48:C48"/>
    <mergeCell ref="D48:E48"/>
    <mergeCell ref="A23:A28"/>
    <mergeCell ref="B24:C24"/>
    <mergeCell ref="A30:A34"/>
    <mergeCell ref="B30:C30"/>
    <mergeCell ref="A35:A40"/>
    <mergeCell ref="B35:C35"/>
    <mergeCell ref="D35:E35"/>
    <mergeCell ref="N18:O18"/>
    <mergeCell ref="P18:P19"/>
    <mergeCell ref="Q18:Q19"/>
    <mergeCell ref="P20:P22"/>
    <mergeCell ref="Q20:Q22"/>
    <mergeCell ref="H23:I23"/>
    <mergeCell ref="J23:K23"/>
    <mergeCell ref="N23:O23"/>
    <mergeCell ref="P23:Q23"/>
    <mergeCell ref="A18:A22"/>
    <mergeCell ref="D18:E18"/>
    <mergeCell ref="F18:G18"/>
    <mergeCell ref="H18:I18"/>
    <mergeCell ref="J18:K18"/>
    <mergeCell ref="L18:M18"/>
    <mergeCell ref="L23:M23"/>
    <mergeCell ref="D23:E23"/>
    <mergeCell ref="F23:G23"/>
    <mergeCell ref="D24:E24"/>
    <mergeCell ref="F24:G24"/>
    <mergeCell ref="H24:I24"/>
    <mergeCell ref="J24:K24"/>
    <mergeCell ref="L24:M24"/>
    <mergeCell ref="N30:O30"/>
    <mergeCell ref="A41:Q41"/>
    <mergeCell ref="N24:O24"/>
    <mergeCell ref="P24:Q24"/>
    <mergeCell ref="Q25:Q26"/>
    <mergeCell ref="A29:Q29"/>
    <mergeCell ref="D30:E30"/>
    <mergeCell ref="F30:G30"/>
    <mergeCell ref="H30:I30"/>
    <mergeCell ref="H48:I48"/>
    <mergeCell ref="J48:K48"/>
    <mergeCell ref="P48:Q48"/>
    <mergeCell ref="Q49:Q50"/>
    <mergeCell ref="F4:G4"/>
    <mergeCell ref="H4:I4"/>
    <mergeCell ref="D5:E5"/>
    <mergeCell ref="F5:G5"/>
    <mergeCell ref="D6:E6"/>
    <mergeCell ref="F6:G6"/>
    <mergeCell ref="D11:E11"/>
    <mergeCell ref="F11:G11"/>
    <mergeCell ref="H11:I11"/>
    <mergeCell ref="N12:O12"/>
    <mergeCell ref="P12:Q12"/>
    <mergeCell ref="J11:K11"/>
    <mergeCell ref="L11:M11"/>
    <mergeCell ref="N11:O11"/>
    <mergeCell ref="P11:Q11"/>
    <mergeCell ref="D12:E12"/>
    <mergeCell ref="F12:G12"/>
    <mergeCell ref="H12:I12"/>
    <mergeCell ref="D2:E3"/>
    <mergeCell ref="B4:C4"/>
    <mergeCell ref="D4:E4"/>
    <mergeCell ref="J4:K4"/>
    <mergeCell ref="L4:M4"/>
    <mergeCell ref="N4:O4"/>
    <mergeCell ref="P4:P5"/>
    <mergeCell ref="N5:O5"/>
    <mergeCell ref="N6:O6"/>
    <mergeCell ref="P6:P10"/>
    <mergeCell ref="Q6:Q10"/>
    <mergeCell ref="Q13:Q14"/>
    <mergeCell ref="H5:I5"/>
    <mergeCell ref="J5:K5"/>
    <mergeCell ref="H6:I6"/>
    <mergeCell ref="J6:K6"/>
    <mergeCell ref="L6:M6"/>
    <mergeCell ref="B1:G1"/>
    <mergeCell ref="H1:I3"/>
    <mergeCell ref="J1:O3"/>
    <mergeCell ref="P1:Q3"/>
    <mergeCell ref="F2:G2"/>
    <mergeCell ref="F3:G3"/>
    <mergeCell ref="Q4:Q5"/>
    <mergeCell ref="L5:M5"/>
    <mergeCell ref="J12:K12"/>
    <mergeCell ref="L12:M12"/>
    <mergeCell ref="A17:Q17"/>
    <mergeCell ref="A1:A5"/>
    <mergeCell ref="B5:C5"/>
    <mergeCell ref="A6:A10"/>
    <mergeCell ref="B6:C6"/>
    <mergeCell ref="A11:A16"/>
    <mergeCell ref="B11:C11"/>
    <mergeCell ref="B12:C12"/>
    <mergeCell ref="H35:I35"/>
    <mergeCell ref="J35:K35"/>
    <mergeCell ref="L35:M35"/>
    <mergeCell ref="N35:O35"/>
    <mergeCell ref="J30:K30"/>
    <mergeCell ref="L30:M30"/>
    <mergeCell ref="P30:P31"/>
    <mergeCell ref="Q30:Q31"/>
    <mergeCell ref="P32:P34"/>
    <mergeCell ref="Q32:Q34"/>
    <mergeCell ref="F35:G35"/>
    <mergeCell ref="P35:Q35"/>
    <mergeCell ref="P36:Q36"/>
    <mergeCell ref="Q37:Q38"/>
    <mergeCell ref="B36:C36"/>
    <mergeCell ref="D36:E36"/>
    <mergeCell ref="F36:G36"/>
    <mergeCell ref="H36:I36"/>
    <mergeCell ref="J36:K36"/>
    <mergeCell ref="L36:M36"/>
    <mergeCell ref="N36:O36"/>
    <mergeCell ref="N42:O42"/>
    <mergeCell ref="P42:P43"/>
    <mergeCell ref="Q42:Q43"/>
    <mergeCell ref="P44:P46"/>
    <mergeCell ref="Q44:Q46"/>
    <mergeCell ref="A42:A46"/>
    <mergeCell ref="B42:C42"/>
    <mergeCell ref="D42:E42"/>
    <mergeCell ref="F42:G42"/>
    <mergeCell ref="H42:I42"/>
    <mergeCell ref="J42:K42"/>
    <mergeCell ref="L42:M42"/>
    <mergeCell ref="L48:M48"/>
    <mergeCell ref="N48:O48"/>
    <mergeCell ref="F47:G47"/>
    <mergeCell ref="H47:I47"/>
    <mergeCell ref="J47:K47"/>
    <mergeCell ref="L47:M47"/>
    <mergeCell ref="N47:O47"/>
    <mergeCell ref="P47:Q47"/>
    <mergeCell ref="F48:G48"/>
  </mergeCells>
  <dataValidations>
    <dataValidation type="list" allowBlank="1" showErrorMessage="1" sqref="A11 A23 A35 A47">
      <formula1>"Don't Push/ Strict Paces,Focus on Recovery Don't Push,Focus HEAVILY on Rolling/ Stretching/ Recovery,Fuel Every Quality Session/ TRACK and see what works/ doesn't,Prep/Fuel Like Race Week,If you feel good; close last 10-20% of hard/ long workouts faster,S"&amp;"tay on Top of the Little Things / Be Ready to Push,Focus More on Strength,Last EASY (50%) Strength: Sat or Sun,Schedule Race Prep Call,Communicate Daily w/ Coach"</formula1>
    </dataValidation>
    <dataValidation type="list" allowBlank="1" showErrorMessage="1" sqref="C16 E16 G16 I16 K16 M16 O16 C28 E28 G28 I28 K28 M28 O28 C40 E40 G40 I40 K40 M40 O40 C52 E52 G52 I52 K52 M52 O52">
      <formula1>"1,2,3,4,5,6,7,8,9,10"</formula1>
    </dataValidation>
    <dataValidation type="list" allowBlank="1" showErrorMessage="1" sqref="A6 A18 A30 A42">
      <formula1>"REST WEEK,BUILD WEEK,PUSH WEEK,PEAK WEEK,RACE WEEK,INJURED,ILLNESS,RETURN WEEK,CROSS TRAINING,TRAVEL/ LIMITED WEEK"</formula1>
    </dataValidation>
    <dataValidation type="list" allowBlank="1" showErrorMessage="1" sqref="C15 E15 G15 I15 K15 M15 O15 C27 E27 G27 I27 K27 M27 O27 C39 E39 G39 I39 K39 M39 O39 C51 E51 G51 I51 K51 M51 O51">
      <formula1>"Yes,No"</formula1>
    </dataValidation>
  </dataValidations>
  <hyperlinks>
    <hyperlink r:id="rId1" ref="A1"/>
    <hyperlink r:id="rId2" ref="D2"/>
    <hyperlink r:id="rId3" ref="F2"/>
    <hyperlink r:id="rId4" ref="F3"/>
  </hyperlinks>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18.13"/>
    <col customWidth="1" min="3" max="3" width="14.25"/>
    <col customWidth="1" min="4" max="4" width="23.63"/>
    <col customWidth="1" min="5" max="5" width="14.13"/>
    <col customWidth="1" min="6" max="6" width="18.38"/>
    <col customWidth="1" min="8" max="8" width="22.75"/>
    <col customWidth="1" min="10" max="10" width="19.13"/>
    <col customWidth="1" min="12" max="12" width="23.63"/>
    <col customWidth="1" min="14" max="14" width="18.25"/>
    <col customWidth="1" min="17" max="17" width="14.75"/>
  </cols>
  <sheetData>
    <row r="1">
      <c r="A1" s="236" t="str">
        <f>'January '!A1</f>
        <v>STRAVA</v>
      </c>
      <c r="B1" s="190" t="s">
        <v>325</v>
      </c>
      <c r="C1" s="23"/>
      <c r="D1" s="23"/>
      <c r="E1" s="23"/>
      <c r="F1" s="23"/>
      <c r="G1" s="23"/>
      <c r="H1" s="191" t="s">
        <v>272</v>
      </c>
      <c r="I1" s="48"/>
      <c r="J1" s="192" t="s">
        <v>326</v>
      </c>
      <c r="K1" s="48"/>
      <c r="L1" s="48"/>
      <c r="M1" s="48"/>
      <c r="N1" s="48"/>
      <c r="O1" s="48"/>
      <c r="P1" s="193"/>
      <c r="Q1" s="42"/>
    </row>
    <row r="2">
      <c r="A2" s="49"/>
      <c r="B2" s="194" t="s">
        <v>274</v>
      </c>
      <c r="C2" s="237" t="str">
        <f>'January '!C2</f>
        <v>1.5 mile</v>
      </c>
      <c r="D2" s="196" t="s">
        <v>276</v>
      </c>
      <c r="E2" s="48"/>
      <c r="F2" s="197" t="s">
        <v>277</v>
      </c>
      <c r="G2" s="24"/>
      <c r="H2" s="50"/>
      <c r="P2" s="50"/>
      <c r="Q2" s="51"/>
    </row>
    <row r="3">
      <c r="A3" s="49"/>
      <c r="B3" s="198" t="s">
        <v>278</v>
      </c>
      <c r="C3" s="237" t="str">
        <f>'January '!C3</f>
        <v>1.5 mile</v>
      </c>
      <c r="D3" s="50"/>
      <c r="F3" s="199" t="s">
        <v>279</v>
      </c>
      <c r="G3" s="24"/>
      <c r="H3" s="50"/>
      <c r="P3" s="53"/>
      <c r="Q3" s="54"/>
    </row>
    <row r="4">
      <c r="A4" s="49"/>
      <c r="B4" s="200" t="s">
        <v>280</v>
      </c>
      <c r="C4" s="24"/>
      <c r="D4" s="201" t="s">
        <v>281</v>
      </c>
      <c r="E4" s="24"/>
      <c r="F4" s="201" t="s">
        <v>282</v>
      </c>
      <c r="G4" s="24"/>
      <c r="H4" s="201" t="s">
        <v>283</v>
      </c>
      <c r="I4" s="24"/>
      <c r="J4" s="201" t="s">
        <v>284</v>
      </c>
      <c r="K4" s="24"/>
      <c r="L4" s="201" t="s">
        <v>285</v>
      </c>
      <c r="M4" s="24"/>
      <c r="N4" s="201" t="s">
        <v>286</v>
      </c>
      <c r="O4" s="24"/>
      <c r="P4" s="202" t="s">
        <v>287</v>
      </c>
      <c r="Q4" s="202" t="s">
        <v>288</v>
      </c>
    </row>
    <row r="5">
      <c r="A5" s="3"/>
      <c r="B5" s="203" t="str">
        <f>'January '!B5</f>
        <v>EASY RUN</v>
      </c>
      <c r="C5" s="24"/>
      <c r="D5" s="203" t="str">
        <f>'January '!D5</f>
        <v>HARD WORKOUT
&amp; STRENGTH</v>
      </c>
      <c r="E5" s="24"/>
      <c r="F5" s="203" t="str">
        <f>'January '!F5</f>
        <v>EASY RUN</v>
      </c>
      <c r="G5" s="24"/>
      <c r="H5" s="203" t="str">
        <f>'January '!H5</f>
        <v>HARD WORKOUT
&amp; STRENGTH</v>
      </c>
      <c r="I5" s="24"/>
      <c r="J5" s="203" t="str">
        <f>'January '!J5</f>
        <v>REST</v>
      </c>
      <c r="K5" s="24"/>
      <c r="L5" s="203" t="str">
        <f>'January '!L5</f>
        <v>LONG RUN</v>
      </c>
      <c r="M5" s="24"/>
      <c r="N5" s="203" t="str">
        <f>'January '!N5</f>
        <v>REST OR EASY RUN</v>
      </c>
      <c r="O5" s="24"/>
      <c r="P5" s="54"/>
      <c r="Q5" s="54"/>
    </row>
    <row r="6">
      <c r="A6" s="204" t="s">
        <v>294</v>
      </c>
      <c r="B6" s="205">
        <v>46055.0</v>
      </c>
      <c r="C6" s="24"/>
      <c r="D6" s="205">
        <v>46056.0</v>
      </c>
      <c r="E6" s="24"/>
      <c r="F6" s="205">
        <v>46057.0</v>
      </c>
      <c r="G6" s="24"/>
      <c r="H6" s="205">
        <v>46058.0</v>
      </c>
      <c r="I6" s="24"/>
      <c r="J6" s="205">
        <v>46059.0</v>
      </c>
      <c r="K6" s="24"/>
      <c r="L6" s="205">
        <v>46060.0</v>
      </c>
      <c r="M6" s="24"/>
      <c r="N6" s="205">
        <v>46061.0</v>
      </c>
      <c r="O6" s="24"/>
      <c r="P6" s="206">
        <f>SUM(B7,D7,F7,H7,J7,L7,N7)</f>
        <v>45</v>
      </c>
      <c r="Q6" s="207"/>
    </row>
    <row r="7">
      <c r="A7" s="49"/>
      <c r="B7" s="208">
        <v>5.0</v>
      </c>
      <c r="C7" s="209" t="s">
        <v>295</v>
      </c>
      <c r="D7" s="210">
        <v>9.0</v>
      </c>
      <c r="E7" s="209" t="s">
        <v>295</v>
      </c>
      <c r="F7" s="208">
        <v>5.0</v>
      </c>
      <c r="G7" s="209" t="s">
        <v>295</v>
      </c>
      <c r="H7" s="210">
        <v>5.0</v>
      </c>
      <c r="I7" s="209" t="s">
        <v>295</v>
      </c>
      <c r="J7" s="210">
        <v>0.0</v>
      </c>
      <c r="K7" s="209" t="s">
        <v>295</v>
      </c>
      <c r="L7" s="210">
        <v>16.0</v>
      </c>
      <c r="M7" s="209" t="s">
        <v>295</v>
      </c>
      <c r="N7" s="208">
        <v>5.0</v>
      </c>
      <c r="O7" s="209" t="s">
        <v>295</v>
      </c>
      <c r="P7" s="49"/>
      <c r="Q7" s="49"/>
    </row>
    <row r="8">
      <c r="A8" s="49"/>
      <c r="B8" s="211" t="s">
        <v>296</v>
      </c>
      <c r="C8" s="212"/>
      <c r="D8" s="213" t="s">
        <v>327</v>
      </c>
      <c r="E8" s="212"/>
      <c r="F8" s="211" t="s">
        <v>296</v>
      </c>
      <c r="G8" s="212"/>
      <c r="H8" s="213" t="s">
        <v>299</v>
      </c>
      <c r="I8" s="212"/>
      <c r="J8" s="213" t="s">
        <v>300</v>
      </c>
      <c r="K8" s="212"/>
      <c r="L8" s="213" t="s">
        <v>328</v>
      </c>
      <c r="M8" s="212"/>
      <c r="N8" s="211" t="s">
        <v>296</v>
      </c>
      <c r="O8" s="212"/>
      <c r="P8" s="49"/>
      <c r="Q8" s="49"/>
    </row>
    <row r="9">
      <c r="A9" s="49"/>
      <c r="B9" s="209" t="s">
        <v>302</v>
      </c>
      <c r="C9" s="209" t="s">
        <v>303</v>
      </c>
      <c r="D9" s="209" t="s">
        <v>302</v>
      </c>
      <c r="E9" s="209" t="s">
        <v>303</v>
      </c>
      <c r="F9" s="209" t="s">
        <v>302</v>
      </c>
      <c r="G9" s="209" t="s">
        <v>303</v>
      </c>
      <c r="H9" s="209" t="s">
        <v>302</v>
      </c>
      <c r="I9" s="209" t="s">
        <v>303</v>
      </c>
      <c r="J9" s="209" t="s">
        <v>302</v>
      </c>
      <c r="K9" s="209" t="s">
        <v>303</v>
      </c>
      <c r="L9" s="209" t="s">
        <v>302</v>
      </c>
      <c r="M9" s="209" t="s">
        <v>303</v>
      </c>
      <c r="N9" s="209" t="s">
        <v>302</v>
      </c>
      <c r="O9" s="209" t="s">
        <v>303</v>
      </c>
      <c r="P9" s="49"/>
      <c r="Q9" s="49"/>
    </row>
    <row r="10">
      <c r="A10" s="49"/>
      <c r="B10" s="214"/>
      <c r="C10" s="214"/>
      <c r="D10" s="214"/>
      <c r="E10" s="214"/>
      <c r="F10" s="214"/>
      <c r="G10" s="214"/>
      <c r="H10" s="214"/>
      <c r="I10" s="214"/>
      <c r="J10" s="214"/>
      <c r="K10" s="214"/>
      <c r="L10" s="214"/>
      <c r="M10" s="215"/>
      <c r="N10" s="214"/>
      <c r="O10" s="214"/>
      <c r="P10" s="3"/>
      <c r="Q10" s="3"/>
    </row>
    <row r="11">
      <c r="A11" s="216" t="s">
        <v>304</v>
      </c>
      <c r="B11" s="217" t="s">
        <v>305</v>
      </c>
      <c r="C11" s="24"/>
      <c r="D11" s="217" t="s">
        <v>305</v>
      </c>
      <c r="E11" s="24"/>
      <c r="F11" s="217" t="s">
        <v>305</v>
      </c>
      <c r="G11" s="24"/>
      <c r="H11" s="217" t="s">
        <v>305</v>
      </c>
      <c r="I11" s="24"/>
      <c r="J11" s="217" t="s">
        <v>305</v>
      </c>
      <c r="K11" s="24"/>
      <c r="L11" s="217" t="s">
        <v>305</v>
      </c>
      <c r="M11" s="24"/>
      <c r="N11" s="217" t="s">
        <v>305</v>
      </c>
      <c r="O11" s="24"/>
      <c r="P11" s="218" t="s">
        <v>306</v>
      </c>
      <c r="Q11" s="24"/>
    </row>
    <row r="12">
      <c r="A12" s="49"/>
      <c r="B12" s="219"/>
      <c r="C12" s="24"/>
      <c r="D12" s="219"/>
      <c r="E12" s="24"/>
      <c r="F12" s="219"/>
      <c r="G12" s="24"/>
      <c r="H12" s="219"/>
      <c r="I12" s="24"/>
      <c r="J12" s="219"/>
      <c r="K12" s="24"/>
      <c r="L12" s="219"/>
      <c r="M12" s="24"/>
      <c r="N12" s="219"/>
      <c r="O12" s="24"/>
      <c r="P12" s="219"/>
      <c r="Q12" s="24"/>
    </row>
    <row r="13">
      <c r="A13" s="49"/>
      <c r="B13" s="220" t="s">
        <v>307</v>
      </c>
      <c r="C13" s="221" t="b">
        <v>0</v>
      </c>
      <c r="D13" s="220" t="s">
        <v>307</v>
      </c>
      <c r="E13" s="223" t="b">
        <v>0</v>
      </c>
      <c r="F13" s="220" t="s">
        <v>307</v>
      </c>
      <c r="G13" s="221" t="b">
        <v>0</v>
      </c>
      <c r="H13" s="220" t="s">
        <v>307</v>
      </c>
      <c r="I13" s="223" t="b">
        <v>0</v>
      </c>
      <c r="J13" s="220" t="s">
        <v>307</v>
      </c>
      <c r="K13" s="223" t="b">
        <v>0</v>
      </c>
      <c r="L13" s="220" t="s">
        <v>307</v>
      </c>
      <c r="M13" s="223" t="b">
        <v>0</v>
      </c>
      <c r="N13" s="220" t="s">
        <v>307</v>
      </c>
      <c r="O13" s="223" t="b">
        <v>0</v>
      </c>
      <c r="P13" s="224">
        <f t="shared" ref="P13:P14" si="1">COUNTIF(B13:O13,True)/COUNTA(B13:O13)%/50</f>
        <v>0</v>
      </c>
      <c r="Q13" s="225" t="s">
        <v>308</v>
      </c>
    </row>
    <row r="14">
      <c r="A14" s="49"/>
      <c r="B14" s="220" t="s">
        <v>309</v>
      </c>
      <c r="C14" s="221" t="b">
        <v>0</v>
      </c>
      <c r="D14" s="220" t="s">
        <v>309</v>
      </c>
      <c r="E14" s="221" t="b">
        <v>0</v>
      </c>
      <c r="F14" s="220" t="s">
        <v>309</v>
      </c>
      <c r="G14" s="223" t="b">
        <v>0</v>
      </c>
      <c r="H14" s="220" t="s">
        <v>309</v>
      </c>
      <c r="I14" s="223" t="b">
        <v>0</v>
      </c>
      <c r="J14" s="220" t="s">
        <v>309</v>
      </c>
      <c r="K14" s="223" t="b">
        <v>0</v>
      </c>
      <c r="L14" s="220" t="s">
        <v>309</v>
      </c>
      <c r="M14" s="223" t="b">
        <v>0</v>
      </c>
      <c r="N14" s="220" t="s">
        <v>309</v>
      </c>
      <c r="O14" s="223" t="b">
        <v>0</v>
      </c>
      <c r="P14" s="224">
        <f t="shared" si="1"/>
        <v>0</v>
      </c>
      <c r="Q14" s="3"/>
    </row>
    <row r="15">
      <c r="A15" s="49"/>
      <c r="B15" s="226" t="s">
        <v>310</v>
      </c>
      <c r="C15" s="227"/>
      <c r="D15" s="226" t="s">
        <v>310</v>
      </c>
      <c r="E15" s="227"/>
      <c r="F15" s="226" t="s">
        <v>310</v>
      </c>
      <c r="G15" s="227"/>
      <c r="H15" s="226" t="s">
        <v>310</v>
      </c>
      <c r="I15" s="227"/>
      <c r="J15" s="226" t="s">
        <v>310</v>
      </c>
      <c r="K15" s="227"/>
      <c r="L15" s="226" t="s">
        <v>310</v>
      </c>
      <c r="M15" s="227"/>
      <c r="N15" s="226" t="s">
        <v>310</v>
      </c>
      <c r="O15" s="227"/>
      <c r="P15" s="228">
        <f>COUNTIF(B15:O15,"Yes")</f>
        <v>0</v>
      </c>
      <c r="Q15" s="229" t="s">
        <v>311</v>
      </c>
    </row>
    <row r="16">
      <c r="A16" s="3"/>
      <c r="B16" s="230" t="s">
        <v>312</v>
      </c>
      <c r="C16" s="231"/>
      <c r="D16" s="230" t="s">
        <v>312</v>
      </c>
      <c r="E16" s="231"/>
      <c r="F16" s="230" t="s">
        <v>312</v>
      </c>
      <c r="G16" s="231"/>
      <c r="H16" s="230" t="s">
        <v>312</v>
      </c>
      <c r="I16" s="231"/>
      <c r="J16" s="230" t="s">
        <v>312</v>
      </c>
      <c r="K16" s="231"/>
      <c r="L16" s="230" t="s">
        <v>312</v>
      </c>
      <c r="M16" s="231"/>
      <c r="N16" s="230" t="s">
        <v>312</v>
      </c>
      <c r="O16" s="231"/>
      <c r="P16" s="232">
        <f>SUM(C16,E16,G16,I16,K16,M16,O16)/7</f>
        <v>0</v>
      </c>
      <c r="Q16" s="230" t="s">
        <v>313</v>
      </c>
    </row>
    <row r="17" ht="10.5" customHeight="1">
      <c r="A17" s="233"/>
      <c r="B17" s="55"/>
      <c r="C17" s="55"/>
      <c r="D17" s="55"/>
      <c r="E17" s="55"/>
      <c r="F17" s="55"/>
      <c r="G17" s="55"/>
      <c r="H17" s="55"/>
      <c r="I17" s="55"/>
      <c r="J17" s="55"/>
      <c r="K17" s="55"/>
      <c r="L17" s="55"/>
      <c r="M17" s="55"/>
      <c r="N17" s="55"/>
      <c r="O17" s="55"/>
      <c r="P17" s="55"/>
      <c r="Q17" s="54"/>
    </row>
    <row r="18">
      <c r="A18" s="204" t="s">
        <v>294</v>
      </c>
      <c r="B18" s="205">
        <v>46062.0</v>
      </c>
      <c r="C18" s="24"/>
      <c r="D18" s="205">
        <v>46063.0</v>
      </c>
      <c r="E18" s="24"/>
      <c r="F18" s="205">
        <v>46064.0</v>
      </c>
      <c r="G18" s="24"/>
      <c r="H18" s="205">
        <v>46065.0</v>
      </c>
      <c r="I18" s="24"/>
      <c r="J18" s="205">
        <v>46066.0</v>
      </c>
      <c r="K18" s="24"/>
      <c r="L18" s="205">
        <v>46067.0</v>
      </c>
      <c r="M18" s="24"/>
      <c r="N18" s="205">
        <v>46068.0</v>
      </c>
      <c r="O18" s="24"/>
      <c r="P18" s="202" t="s">
        <v>287</v>
      </c>
      <c r="Q18" s="202" t="s">
        <v>288</v>
      </c>
    </row>
    <row r="19">
      <c r="A19" s="49"/>
      <c r="B19" s="208">
        <v>5.0</v>
      </c>
      <c r="C19" s="209" t="s">
        <v>295</v>
      </c>
      <c r="D19" s="210">
        <v>10.0</v>
      </c>
      <c r="E19" s="209" t="s">
        <v>295</v>
      </c>
      <c r="F19" s="208">
        <v>5.0</v>
      </c>
      <c r="G19" s="209" t="s">
        <v>295</v>
      </c>
      <c r="H19" s="210">
        <v>5.0</v>
      </c>
      <c r="I19" s="209" t="s">
        <v>295</v>
      </c>
      <c r="J19" s="210">
        <v>0.0</v>
      </c>
      <c r="K19" s="209" t="s">
        <v>295</v>
      </c>
      <c r="L19" s="210">
        <v>17.0</v>
      </c>
      <c r="M19" s="209" t="s">
        <v>295</v>
      </c>
      <c r="N19" s="208">
        <v>5.0</v>
      </c>
      <c r="O19" s="209" t="s">
        <v>295</v>
      </c>
      <c r="P19" s="54"/>
      <c r="Q19" s="54"/>
    </row>
    <row r="20">
      <c r="A20" s="49"/>
      <c r="B20" s="211" t="s">
        <v>296</v>
      </c>
      <c r="C20" s="212"/>
      <c r="D20" s="213" t="s">
        <v>329</v>
      </c>
      <c r="E20" s="212"/>
      <c r="F20" s="211" t="s">
        <v>296</v>
      </c>
      <c r="G20" s="212"/>
      <c r="H20" s="213" t="s">
        <v>299</v>
      </c>
      <c r="I20" s="212"/>
      <c r="J20" s="213" t="s">
        <v>300</v>
      </c>
      <c r="K20" s="212"/>
      <c r="L20" s="213" t="s">
        <v>330</v>
      </c>
      <c r="M20" s="212"/>
      <c r="N20" s="211" t="s">
        <v>296</v>
      </c>
      <c r="O20" s="212"/>
      <c r="P20" s="206">
        <f>SUM(B19,D19,F19,H19,J19,L19,N19)</f>
        <v>47</v>
      </c>
      <c r="Q20" s="234"/>
    </row>
    <row r="21">
      <c r="A21" s="49"/>
      <c r="B21" s="209" t="s">
        <v>302</v>
      </c>
      <c r="C21" s="209" t="s">
        <v>303</v>
      </c>
      <c r="D21" s="209" t="s">
        <v>302</v>
      </c>
      <c r="E21" s="209" t="s">
        <v>303</v>
      </c>
      <c r="F21" s="209" t="s">
        <v>302</v>
      </c>
      <c r="G21" s="209" t="s">
        <v>303</v>
      </c>
      <c r="H21" s="209" t="s">
        <v>302</v>
      </c>
      <c r="I21" s="209" t="s">
        <v>303</v>
      </c>
      <c r="J21" s="209" t="s">
        <v>302</v>
      </c>
      <c r="K21" s="209" t="s">
        <v>303</v>
      </c>
      <c r="L21" s="209" t="s">
        <v>302</v>
      </c>
      <c r="M21" s="209" t="s">
        <v>303</v>
      </c>
      <c r="N21" s="209" t="s">
        <v>302</v>
      </c>
      <c r="O21" s="209" t="s">
        <v>303</v>
      </c>
      <c r="P21" s="49"/>
      <c r="Q21" s="49"/>
    </row>
    <row r="22">
      <c r="A22" s="49"/>
      <c r="B22" s="214"/>
      <c r="C22" s="214"/>
      <c r="D22" s="214"/>
      <c r="E22" s="214"/>
      <c r="F22" s="214"/>
      <c r="G22" s="214"/>
      <c r="H22" s="214"/>
      <c r="I22" s="214"/>
      <c r="J22" s="214"/>
      <c r="K22" s="214"/>
      <c r="L22" s="214"/>
      <c r="M22" s="215"/>
      <c r="N22" s="214"/>
      <c r="O22" s="214"/>
      <c r="P22" s="3"/>
      <c r="Q22" s="3"/>
    </row>
    <row r="23">
      <c r="A23" s="216" t="s">
        <v>304</v>
      </c>
      <c r="B23" s="217" t="s">
        <v>305</v>
      </c>
      <c r="C23" s="24"/>
      <c r="D23" s="217" t="s">
        <v>305</v>
      </c>
      <c r="E23" s="24"/>
      <c r="F23" s="217" t="s">
        <v>305</v>
      </c>
      <c r="G23" s="24"/>
      <c r="H23" s="217" t="s">
        <v>305</v>
      </c>
      <c r="I23" s="24"/>
      <c r="J23" s="217" t="s">
        <v>305</v>
      </c>
      <c r="K23" s="24"/>
      <c r="L23" s="217" t="s">
        <v>305</v>
      </c>
      <c r="M23" s="24"/>
      <c r="N23" s="217" t="s">
        <v>305</v>
      </c>
      <c r="O23" s="24"/>
      <c r="P23" s="218" t="s">
        <v>306</v>
      </c>
      <c r="Q23" s="24"/>
    </row>
    <row r="24">
      <c r="A24" s="49"/>
      <c r="B24" s="219"/>
      <c r="C24" s="24"/>
      <c r="D24" s="219"/>
      <c r="E24" s="24"/>
      <c r="F24" s="219"/>
      <c r="G24" s="24"/>
      <c r="H24" s="219"/>
      <c r="I24" s="24"/>
      <c r="J24" s="219"/>
      <c r="K24" s="24"/>
      <c r="L24" s="219"/>
      <c r="M24" s="24"/>
      <c r="N24" s="219"/>
      <c r="O24" s="24"/>
      <c r="P24" s="219"/>
      <c r="Q24" s="24"/>
    </row>
    <row r="25">
      <c r="A25" s="49"/>
      <c r="B25" s="220" t="s">
        <v>307</v>
      </c>
      <c r="C25" s="221" t="b">
        <v>0</v>
      </c>
      <c r="D25" s="220" t="s">
        <v>307</v>
      </c>
      <c r="E25" s="223" t="b">
        <v>0</v>
      </c>
      <c r="F25" s="220" t="s">
        <v>307</v>
      </c>
      <c r="G25" s="223" t="b">
        <v>0</v>
      </c>
      <c r="H25" s="220" t="s">
        <v>307</v>
      </c>
      <c r="I25" s="223" t="b">
        <v>0</v>
      </c>
      <c r="J25" s="220" t="s">
        <v>307</v>
      </c>
      <c r="K25" s="223" t="b">
        <v>0</v>
      </c>
      <c r="L25" s="220" t="s">
        <v>307</v>
      </c>
      <c r="M25" s="223" t="b">
        <v>0</v>
      </c>
      <c r="N25" s="220" t="s">
        <v>307</v>
      </c>
      <c r="O25" s="223" t="b">
        <v>0</v>
      </c>
      <c r="P25" s="224">
        <f t="shared" ref="P25:P26" si="2">COUNTIF(B25:O25,True)/COUNTA(B25:O25)%/50</f>
        <v>0</v>
      </c>
      <c r="Q25" s="225" t="s">
        <v>308</v>
      </c>
    </row>
    <row r="26">
      <c r="A26" s="49"/>
      <c r="B26" s="220" t="s">
        <v>309</v>
      </c>
      <c r="C26" s="221" t="b">
        <v>0</v>
      </c>
      <c r="D26" s="220" t="s">
        <v>309</v>
      </c>
      <c r="E26" s="221" t="b">
        <v>0</v>
      </c>
      <c r="F26" s="220" t="s">
        <v>309</v>
      </c>
      <c r="G26" s="223" t="b">
        <v>0</v>
      </c>
      <c r="H26" s="220" t="s">
        <v>309</v>
      </c>
      <c r="I26" s="223" t="b">
        <v>0</v>
      </c>
      <c r="J26" s="220" t="s">
        <v>309</v>
      </c>
      <c r="K26" s="223" t="b">
        <v>0</v>
      </c>
      <c r="L26" s="220" t="s">
        <v>309</v>
      </c>
      <c r="M26" s="223" t="b">
        <v>0</v>
      </c>
      <c r="N26" s="220" t="s">
        <v>309</v>
      </c>
      <c r="O26" s="223" t="b">
        <v>0</v>
      </c>
      <c r="P26" s="224">
        <f t="shared" si="2"/>
        <v>0</v>
      </c>
      <c r="Q26" s="3"/>
    </row>
    <row r="27">
      <c r="A27" s="49"/>
      <c r="B27" s="226" t="s">
        <v>310</v>
      </c>
      <c r="C27" s="227"/>
      <c r="D27" s="226" t="s">
        <v>310</v>
      </c>
      <c r="E27" s="227"/>
      <c r="F27" s="226" t="s">
        <v>310</v>
      </c>
      <c r="G27" s="227"/>
      <c r="H27" s="226" t="s">
        <v>310</v>
      </c>
      <c r="I27" s="227"/>
      <c r="J27" s="226" t="s">
        <v>310</v>
      </c>
      <c r="K27" s="227"/>
      <c r="L27" s="226" t="s">
        <v>310</v>
      </c>
      <c r="M27" s="227"/>
      <c r="N27" s="226" t="s">
        <v>310</v>
      </c>
      <c r="O27" s="227"/>
      <c r="P27" s="228">
        <f>COUNTIF(B27:O27,"Yes")</f>
        <v>0</v>
      </c>
      <c r="Q27" s="229" t="s">
        <v>311</v>
      </c>
    </row>
    <row r="28">
      <c r="A28" s="3"/>
      <c r="B28" s="230" t="s">
        <v>312</v>
      </c>
      <c r="C28" s="231"/>
      <c r="D28" s="230" t="s">
        <v>312</v>
      </c>
      <c r="E28" s="231"/>
      <c r="F28" s="230" t="s">
        <v>312</v>
      </c>
      <c r="G28" s="231"/>
      <c r="H28" s="230" t="s">
        <v>312</v>
      </c>
      <c r="I28" s="231"/>
      <c r="J28" s="230" t="s">
        <v>312</v>
      </c>
      <c r="K28" s="231"/>
      <c r="L28" s="230" t="s">
        <v>312</v>
      </c>
      <c r="M28" s="231"/>
      <c r="N28" s="230" t="s">
        <v>312</v>
      </c>
      <c r="O28" s="231"/>
      <c r="P28" s="232">
        <f>SUM(C28,E28,G28,I28,K28,M28,O28)/7</f>
        <v>0</v>
      </c>
      <c r="Q28" s="230" t="s">
        <v>313</v>
      </c>
    </row>
    <row r="29" ht="10.5" customHeight="1">
      <c r="A29" s="233"/>
      <c r="B29" s="55"/>
      <c r="C29" s="55"/>
      <c r="D29" s="55"/>
      <c r="E29" s="55"/>
      <c r="F29" s="55"/>
      <c r="G29" s="55"/>
      <c r="H29" s="55"/>
      <c r="I29" s="55"/>
      <c r="J29" s="55"/>
      <c r="K29" s="55"/>
      <c r="L29" s="55"/>
      <c r="M29" s="55"/>
      <c r="N29" s="55"/>
      <c r="O29" s="55"/>
      <c r="P29" s="55"/>
      <c r="Q29" s="54"/>
    </row>
    <row r="30">
      <c r="A30" s="204" t="s">
        <v>316</v>
      </c>
      <c r="B30" s="205">
        <v>46069.0</v>
      </c>
      <c r="C30" s="24"/>
      <c r="D30" s="205">
        <v>46070.0</v>
      </c>
      <c r="E30" s="24"/>
      <c r="F30" s="205">
        <v>46071.0</v>
      </c>
      <c r="G30" s="24"/>
      <c r="H30" s="205">
        <v>46072.0</v>
      </c>
      <c r="I30" s="24"/>
      <c r="J30" s="205">
        <v>46073.0</v>
      </c>
      <c r="K30" s="24"/>
      <c r="L30" s="205">
        <v>46074.0</v>
      </c>
      <c r="M30" s="24"/>
      <c r="N30" s="205">
        <v>46075.0</v>
      </c>
      <c r="O30" s="24"/>
      <c r="P30" s="202" t="s">
        <v>287</v>
      </c>
      <c r="Q30" s="202" t="s">
        <v>288</v>
      </c>
    </row>
    <row r="31">
      <c r="A31" s="49"/>
      <c r="B31" s="208">
        <v>3.0</v>
      </c>
      <c r="C31" s="209" t="s">
        <v>295</v>
      </c>
      <c r="D31" s="210">
        <v>10.0</v>
      </c>
      <c r="E31" s="209" t="s">
        <v>295</v>
      </c>
      <c r="F31" s="208">
        <v>3.0</v>
      </c>
      <c r="G31" s="209" t="s">
        <v>295</v>
      </c>
      <c r="H31" s="210">
        <v>5.0</v>
      </c>
      <c r="I31" s="209" t="s">
        <v>295</v>
      </c>
      <c r="J31" s="210">
        <v>0.0</v>
      </c>
      <c r="K31" s="209" t="s">
        <v>295</v>
      </c>
      <c r="L31" s="210">
        <v>12.0</v>
      </c>
      <c r="M31" s="209" t="s">
        <v>295</v>
      </c>
      <c r="N31" s="208">
        <v>3.0</v>
      </c>
      <c r="O31" s="209" t="s">
        <v>295</v>
      </c>
      <c r="P31" s="54"/>
      <c r="Q31" s="54"/>
    </row>
    <row r="32">
      <c r="A32" s="49"/>
      <c r="B32" s="235" t="s">
        <v>317</v>
      </c>
      <c r="C32" s="212"/>
      <c r="D32" s="213" t="s">
        <v>331</v>
      </c>
      <c r="E32" s="212"/>
      <c r="F32" s="235" t="s">
        <v>317</v>
      </c>
      <c r="G32" s="212"/>
      <c r="H32" s="213" t="s">
        <v>299</v>
      </c>
      <c r="I32" s="212"/>
      <c r="J32" s="213" t="s">
        <v>300</v>
      </c>
      <c r="K32" s="212"/>
      <c r="L32" s="213" t="s">
        <v>319</v>
      </c>
      <c r="M32" s="212"/>
      <c r="N32" s="235" t="s">
        <v>317</v>
      </c>
      <c r="O32" s="212"/>
      <c r="P32" s="206">
        <f>SUM(B31,D31,F31,H31,J31,L31,N31)</f>
        <v>36</v>
      </c>
      <c r="Q32" s="234"/>
    </row>
    <row r="33">
      <c r="A33" s="49"/>
      <c r="B33" s="209" t="s">
        <v>302</v>
      </c>
      <c r="C33" s="209" t="s">
        <v>303</v>
      </c>
      <c r="D33" s="209" t="s">
        <v>302</v>
      </c>
      <c r="E33" s="209" t="s">
        <v>303</v>
      </c>
      <c r="F33" s="209" t="s">
        <v>302</v>
      </c>
      <c r="G33" s="209" t="s">
        <v>303</v>
      </c>
      <c r="H33" s="209" t="s">
        <v>302</v>
      </c>
      <c r="I33" s="209" t="s">
        <v>303</v>
      </c>
      <c r="J33" s="209" t="s">
        <v>302</v>
      </c>
      <c r="K33" s="209" t="s">
        <v>303</v>
      </c>
      <c r="L33" s="209" t="s">
        <v>302</v>
      </c>
      <c r="M33" s="209" t="s">
        <v>303</v>
      </c>
      <c r="N33" s="209" t="s">
        <v>302</v>
      </c>
      <c r="O33" s="209" t="s">
        <v>303</v>
      </c>
      <c r="P33" s="49"/>
      <c r="Q33" s="49"/>
    </row>
    <row r="34">
      <c r="A34" s="49"/>
      <c r="B34" s="214"/>
      <c r="C34" s="214"/>
      <c r="D34" s="214"/>
      <c r="E34" s="214"/>
      <c r="F34" s="214"/>
      <c r="G34" s="214"/>
      <c r="H34" s="214"/>
      <c r="I34" s="214"/>
      <c r="J34" s="214"/>
      <c r="K34" s="214"/>
      <c r="L34" s="214"/>
      <c r="M34" s="215"/>
      <c r="N34" s="214"/>
      <c r="O34" s="214"/>
      <c r="P34" s="3"/>
      <c r="Q34" s="3"/>
    </row>
    <row r="35">
      <c r="A35" s="216" t="s">
        <v>332</v>
      </c>
      <c r="B35" s="217" t="s">
        <v>305</v>
      </c>
      <c r="C35" s="24"/>
      <c r="D35" s="217" t="s">
        <v>305</v>
      </c>
      <c r="E35" s="24"/>
      <c r="F35" s="217" t="s">
        <v>305</v>
      </c>
      <c r="G35" s="24"/>
      <c r="H35" s="217" t="s">
        <v>305</v>
      </c>
      <c r="I35" s="24"/>
      <c r="J35" s="217" t="s">
        <v>305</v>
      </c>
      <c r="K35" s="24"/>
      <c r="L35" s="217" t="s">
        <v>305</v>
      </c>
      <c r="M35" s="24"/>
      <c r="N35" s="217" t="s">
        <v>305</v>
      </c>
      <c r="O35" s="24"/>
      <c r="P35" s="218" t="s">
        <v>306</v>
      </c>
      <c r="Q35" s="24"/>
    </row>
    <row r="36">
      <c r="A36" s="49"/>
      <c r="B36" s="219"/>
      <c r="C36" s="24"/>
      <c r="D36" s="219"/>
      <c r="E36" s="24"/>
      <c r="F36" s="219"/>
      <c r="G36" s="24"/>
      <c r="H36" s="219"/>
      <c r="I36" s="24"/>
      <c r="J36" s="219"/>
      <c r="K36" s="24"/>
      <c r="L36" s="219"/>
      <c r="M36" s="24"/>
      <c r="N36" s="219"/>
      <c r="O36" s="24"/>
      <c r="P36" s="219"/>
      <c r="Q36" s="24"/>
    </row>
    <row r="37">
      <c r="A37" s="49"/>
      <c r="B37" s="220" t="s">
        <v>307</v>
      </c>
      <c r="C37" s="221" t="b">
        <v>0</v>
      </c>
      <c r="D37" s="220" t="s">
        <v>307</v>
      </c>
      <c r="E37" s="223" t="b">
        <v>0</v>
      </c>
      <c r="F37" s="220" t="s">
        <v>307</v>
      </c>
      <c r="G37" s="223" t="b">
        <v>0</v>
      </c>
      <c r="H37" s="220" t="s">
        <v>307</v>
      </c>
      <c r="I37" s="223" t="b">
        <v>0</v>
      </c>
      <c r="J37" s="220" t="s">
        <v>307</v>
      </c>
      <c r="K37" s="223" t="b">
        <v>0</v>
      </c>
      <c r="L37" s="220" t="s">
        <v>307</v>
      </c>
      <c r="M37" s="223" t="b">
        <v>0</v>
      </c>
      <c r="N37" s="220" t="s">
        <v>307</v>
      </c>
      <c r="O37" s="223" t="b">
        <v>0</v>
      </c>
      <c r="P37" s="224">
        <f t="shared" ref="P37:P38" si="3">COUNTIF(B37:O37,True)/COUNTA(B37:O37)%/50</f>
        <v>0</v>
      </c>
      <c r="Q37" s="225" t="s">
        <v>308</v>
      </c>
    </row>
    <row r="38">
      <c r="A38" s="49"/>
      <c r="B38" s="220" t="s">
        <v>309</v>
      </c>
      <c r="C38" s="221" t="b">
        <v>0</v>
      </c>
      <c r="D38" s="220" t="s">
        <v>309</v>
      </c>
      <c r="E38" s="221" t="b">
        <v>0</v>
      </c>
      <c r="F38" s="220" t="s">
        <v>309</v>
      </c>
      <c r="G38" s="223" t="b">
        <v>0</v>
      </c>
      <c r="H38" s="220" t="s">
        <v>309</v>
      </c>
      <c r="I38" s="223" t="b">
        <v>0</v>
      </c>
      <c r="J38" s="220" t="s">
        <v>309</v>
      </c>
      <c r="K38" s="223" t="b">
        <v>0</v>
      </c>
      <c r="L38" s="220" t="s">
        <v>309</v>
      </c>
      <c r="M38" s="223" t="b">
        <v>0</v>
      </c>
      <c r="N38" s="220" t="s">
        <v>309</v>
      </c>
      <c r="O38" s="223" t="b">
        <v>0</v>
      </c>
      <c r="P38" s="224">
        <f t="shared" si="3"/>
        <v>0</v>
      </c>
      <c r="Q38" s="3"/>
    </row>
    <row r="39">
      <c r="A39" s="49"/>
      <c r="B39" s="226" t="s">
        <v>310</v>
      </c>
      <c r="C39" s="227"/>
      <c r="D39" s="226" t="s">
        <v>310</v>
      </c>
      <c r="E39" s="227"/>
      <c r="F39" s="226" t="s">
        <v>310</v>
      </c>
      <c r="G39" s="227"/>
      <c r="H39" s="226" t="s">
        <v>310</v>
      </c>
      <c r="I39" s="227"/>
      <c r="J39" s="226" t="s">
        <v>310</v>
      </c>
      <c r="K39" s="227"/>
      <c r="L39" s="226" t="s">
        <v>310</v>
      </c>
      <c r="M39" s="227"/>
      <c r="N39" s="226" t="s">
        <v>310</v>
      </c>
      <c r="O39" s="227"/>
      <c r="P39" s="228">
        <f>COUNTIF(B39:O39,"Yes")</f>
        <v>0</v>
      </c>
      <c r="Q39" s="229" t="s">
        <v>311</v>
      </c>
    </row>
    <row r="40">
      <c r="A40" s="3"/>
      <c r="B40" s="230" t="s">
        <v>312</v>
      </c>
      <c r="C40" s="231"/>
      <c r="D40" s="230" t="s">
        <v>312</v>
      </c>
      <c r="E40" s="231"/>
      <c r="F40" s="230" t="s">
        <v>312</v>
      </c>
      <c r="G40" s="231"/>
      <c r="H40" s="230" t="s">
        <v>312</v>
      </c>
      <c r="I40" s="231"/>
      <c r="J40" s="230" t="s">
        <v>312</v>
      </c>
      <c r="K40" s="231"/>
      <c r="L40" s="230" t="s">
        <v>312</v>
      </c>
      <c r="M40" s="231"/>
      <c r="N40" s="230" t="s">
        <v>312</v>
      </c>
      <c r="O40" s="231"/>
      <c r="P40" s="232">
        <f>SUM(C40,E40,G40,I40,K40,M40,O40)/7</f>
        <v>0</v>
      </c>
      <c r="Q40" s="230" t="s">
        <v>313</v>
      </c>
    </row>
    <row r="41" ht="10.5" customHeight="1">
      <c r="A41" s="233"/>
      <c r="B41" s="55"/>
      <c r="C41" s="55"/>
      <c r="D41" s="55"/>
      <c r="E41" s="55"/>
      <c r="F41" s="55"/>
      <c r="G41" s="55"/>
      <c r="H41" s="55"/>
      <c r="I41" s="55"/>
      <c r="J41" s="55"/>
      <c r="K41" s="55"/>
      <c r="L41" s="55"/>
      <c r="M41" s="55"/>
      <c r="N41" s="55"/>
      <c r="O41" s="55"/>
      <c r="P41" s="55"/>
      <c r="Q41" s="54"/>
    </row>
    <row r="42">
      <c r="A42" s="204" t="s">
        <v>294</v>
      </c>
      <c r="B42" s="205">
        <v>46076.0</v>
      </c>
      <c r="C42" s="24"/>
      <c r="D42" s="205">
        <v>46077.0</v>
      </c>
      <c r="E42" s="24"/>
      <c r="F42" s="205">
        <v>46078.0</v>
      </c>
      <c r="G42" s="24"/>
      <c r="H42" s="205">
        <v>46079.0</v>
      </c>
      <c r="I42" s="24"/>
      <c r="J42" s="205">
        <v>46080.0</v>
      </c>
      <c r="K42" s="24"/>
      <c r="L42" s="205">
        <v>46081.0</v>
      </c>
      <c r="M42" s="24"/>
      <c r="N42" s="205">
        <v>46082.0</v>
      </c>
      <c r="O42" s="24"/>
      <c r="P42" s="202" t="s">
        <v>287</v>
      </c>
      <c r="Q42" s="202" t="s">
        <v>288</v>
      </c>
    </row>
    <row r="43">
      <c r="A43" s="49"/>
      <c r="B43" s="208">
        <v>5.0</v>
      </c>
      <c r="C43" s="209" t="s">
        <v>295</v>
      </c>
      <c r="D43" s="210">
        <v>16.0</v>
      </c>
      <c r="E43" s="209" t="s">
        <v>295</v>
      </c>
      <c r="F43" s="208">
        <v>5.0</v>
      </c>
      <c r="G43" s="209" t="s">
        <v>295</v>
      </c>
      <c r="H43" s="210">
        <v>0.0</v>
      </c>
      <c r="I43" s="209" t="s">
        <v>295</v>
      </c>
      <c r="J43" s="208">
        <v>5.0</v>
      </c>
      <c r="K43" s="209" t="s">
        <v>295</v>
      </c>
      <c r="L43" s="210">
        <v>8.0</v>
      </c>
      <c r="M43" s="209" t="s">
        <v>295</v>
      </c>
      <c r="N43" s="208">
        <v>5.0</v>
      </c>
      <c r="O43" s="209" t="s">
        <v>295</v>
      </c>
      <c r="P43" s="54"/>
      <c r="Q43" s="54"/>
    </row>
    <row r="44">
      <c r="A44" s="49"/>
      <c r="B44" s="211" t="s">
        <v>296</v>
      </c>
      <c r="C44" s="212"/>
      <c r="D44" s="213" t="s">
        <v>333</v>
      </c>
      <c r="E44" s="212"/>
      <c r="F44" s="211" t="s">
        <v>296</v>
      </c>
      <c r="G44" s="212"/>
      <c r="H44" s="213" t="s">
        <v>300</v>
      </c>
      <c r="I44" s="212"/>
      <c r="J44" s="211" t="s">
        <v>296</v>
      </c>
      <c r="K44" s="212"/>
      <c r="L44" s="213" t="s">
        <v>334</v>
      </c>
      <c r="M44" s="212"/>
      <c r="N44" s="211" t="s">
        <v>296</v>
      </c>
      <c r="O44" s="212"/>
      <c r="P44" s="206">
        <f>SUM(B43,D43,F43,H43,J43,L43,N43)</f>
        <v>44</v>
      </c>
      <c r="Q44" s="234"/>
    </row>
    <row r="45">
      <c r="A45" s="49"/>
      <c r="B45" s="209" t="s">
        <v>302</v>
      </c>
      <c r="C45" s="209" t="s">
        <v>303</v>
      </c>
      <c r="D45" s="209" t="s">
        <v>302</v>
      </c>
      <c r="E45" s="209" t="s">
        <v>303</v>
      </c>
      <c r="F45" s="209" t="s">
        <v>302</v>
      </c>
      <c r="G45" s="209" t="s">
        <v>303</v>
      </c>
      <c r="H45" s="209" t="s">
        <v>302</v>
      </c>
      <c r="I45" s="209" t="s">
        <v>303</v>
      </c>
      <c r="J45" s="209" t="s">
        <v>302</v>
      </c>
      <c r="K45" s="209" t="s">
        <v>303</v>
      </c>
      <c r="L45" s="209" t="s">
        <v>302</v>
      </c>
      <c r="M45" s="209" t="s">
        <v>303</v>
      </c>
      <c r="N45" s="209" t="s">
        <v>302</v>
      </c>
      <c r="O45" s="209" t="s">
        <v>303</v>
      </c>
      <c r="P45" s="49"/>
      <c r="Q45" s="49"/>
    </row>
    <row r="46">
      <c r="A46" s="49"/>
      <c r="B46" s="214"/>
      <c r="C46" s="214"/>
      <c r="D46" s="214"/>
      <c r="E46" s="214"/>
      <c r="F46" s="214"/>
      <c r="G46" s="214"/>
      <c r="H46" s="214"/>
      <c r="I46" s="214"/>
      <c r="J46" s="214"/>
      <c r="K46" s="214"/>
      <c r="L46" s="214"/>
      <c r="M46" s="215"/>
      <c r="N46" s="214"/>
      <c r="O46" s="214"/>
      <c r="P46" s="3"/>
      <c r="Q46" s="3"/>
    </row>
    <row r="47">
      <c r="A47" s="216" t="s">
        <v>335</v>
      </c>
      <c r="B47" s="217" t="s">
        <v>305</v>
      </c>
      <c r="C47" s="24"/>
      <c r="D47" s="217" t="s">
        <v>305</v>
      </c>
      <c r="E47" s="24"/>
      <c r="F47" s="217" t="s">
        <v>305</v>
      </c>
      <c r="G47" s="24"/>
      <c r="H47" s="217" t="s">
        <v>305</v>
      </c>
      <c r="I47" s="24"/>
      <c r="J47" s="217" t="s">
        <v>305</v>
      </c>
      <c r="K47" s="24"/>
      <c r="L47" s="217" t="s">
        <v>305</v>
      </c>
      <c r="M47" s="24"/>
      <c r="N47" s="217" t="s">
        <v>305</v>
      </c>
      <c r="O47" s="24"/>
      <c r="P47" s="218" t="s">
        <v>306</v>
      </c>
      <c r="Q47" s="24"/>
    </row>
    <row r="48">
      <c r="A48" s="49"/>
      <c r="B48" s="219"/>
      <c r="C48" s="24"/>
      <c r="D48" s="219"/>
      <c r="E48" s="24"/>
      <c r="F48" s="219"/>
      <c r="G48" s="24"/>
      <c r="H48" s="219"/>
      <c r="I48" s="24"/>
      <c r="J48" s="219"/>
      <c r="K48" s="24"/>
      <c r="L48" s="219"/>
      <c r="M48" s="24"/>
      <c r="N48" s="219"/>
      <c r="O48" s="24"/>
      <c r="P48" s="219"/>
      <c r="Q48" s="24"/>
    </row>
    <row r="49">
      <c r="A49" s="49"/>
      <c r="B49" s="220" t="s">
        <v>307</v>
      </c>
      <c r="C49" s="221" t="b">
        <v>0</v>
      </c>
      <c r="D49" s="220" t="s">
        <v>307</v>
      </c>
      <c r="E49" s="223" t="b">
        <v>0</v>
      </c>
      <c r="F49" s="220" t="s">
        <v>307</v>
      </c>
      <c r="G49" s="223" t="b">
        <v>0</v>
      </c>
      <c r="H49" s="220" t="s">
        <v>307</v>
      </c>
      <c r="I49" s="223" t="b">
        <v>0</v>
      </c>
      <c r="J49" s="220" t="s">
        <v>307</v>
      </c>
      <c r="K49" s="223" t="b">
        <v>0</v>
      </c>
      <c r="L49" s="220" t="s">
        <v>307</v>
      </c>
      <c r="M49" s="223" t="b">
        <v>0</v>
      </c>
      <c r="N49" s="220" t="s">
        <v>307</v>
      </c>
      <c r="O49" s="223" t="b">
        <v>0</v>
      </c>
      <c r="P49" s="224">
        <f t="shared" ref="P49:P50" si="4">COUNTIF(B49:O49,True)/COUNTA(B49:O49)%/50</f>
        <v>0</v>
      </c>
      <c r="Q49" s="225" t="s">
        <v>308</v>
      </c>
    </row>
    <row r="50">
      <c r="A50" s="49"/>
      <c r="B50" s="220" t="s">
        <v>309</v>
      </c>
      <c r="C50" s="221" t="b">
        <v>0</v>
      </c>
      <c r="D50" s="220" t="s">
        <v>309</v>
      </c>
      <c r="E50" s="221" t="b">
        <v>0</v>
      </c>
      <c r="F50" s="220" t="s">
        <v>309</v>
      </c>
      <c r="G50" s="223" t="b">
        <v>0</v>
      </c>
      <c r="H50" s="220" t="s">
        <v>309</v>
      </c>
      <c r="I50" s="223" t="b">
        <v>0</v>
      </c>
      <c r="J50" s="220" t="s">
        <v>309</v>
      </c>
      <c r="K50" s="223" t="b">
        <v>0</v>
      </c>
      <c r="L50" s="220" t="s">
        <v>309</v>
      </c>
      <c r="M50" s="223" t="b">
        <v>0</v>
      </c>
      <c r="N50" s="220" t="s">
        <v>309</v>
      </c>
      <c r="O50" s="223" t="b">
        <v>0</v>
      </c>
      <c r="P50" s="224">
        <f t="shared" si="4"/>
        <v>0</v>
      </c>
      <c r="Q50" s="3"/>
    </row>
    <row r="51">
      <c r="A51" s="49"/>
      <c r="B51" s="226" t="s">
        <v>310</v>
      </c>
      <c r="C51" s="227"/>
      <c r="D51" s="226" t="s">
        <v>310</v>
      </c>
      <c r="E51" s="227"/>
      <c r="F51" s="226" t="s">
        <v>310</v>
      </c>
      <c r="G51" s="227"/>
      <c r="H51" s="226" t="s">
        <v>310</v>
      </c>
      <c r="I51" s="227"/>
      <c r="J51" s="226" t="s">
        <v>310</v>
      </c>
      <c r="K51" s="227"/>
      <c r="L51" s="226" t="s">
        <v>310</v>
      </c>
      <c r="M51" s="227"/>
      <c r="N51" s="226" t="s">
        <v>310</v>
      </c>
      <c r="O51" s="227"/>
      <c r="P51" s="228">
        <f>COUNTIF(B51:O51,"Yes")</f>
        <v>0</v>
      </c>
      <c r="Q51" s="229" t="s">
        <v>311</v>
      </c>
    </row>
    <row r="52">
      <c r="A52" s="3"/>
      <c r="B52" s="230" t="s">
        <v>312</v>
      </c>
      <c r="C52" s="231"/>
      <c r="D52" s="230" t="s">
        <v>312</v>
      </c>
      <c r="E52" s="231"/>
      <c r="F52" s="230" t="s">
        <v>312</v>
      </c>
      <c r="G52" s="231"/>
      <c r="H52" s="230" t="s">
        <v>312</v>
      </c>
      <c r="I52" s="231"/>
      <c r="J52" s="230" t="s">
        <v>312</v>
      </c>
      <c r="K52" s="231"/>
      <c r="L52" s="230" t="s">
        <v>312</v>
      </c>
      <c r="M52" s="231"/>
      <c r="N52" s="230" t="s">
        <v>312</v>
      </c>
      <c r="O52" s="231"/>
      <c r="P52" s="232">
        <f>SUM(C52,E52,G52,I52,K52,M52,O52)/7</f>
        <v>0</v>
      </c>
      <c r="Q52" s="230" t="s">
        <v>313</v>
      </c>
    </row>
  </sheetData>
  <mergeCells count="145">
    <mergeCell ref="B18:C18"/>
    <mergeCell ref="B23:C23"/>
    <mergeCell ref="A47:A52"/>
    <mergeCell ref="B47:C47"/>
    <mergeCell ref="D47:E47"/>
    <mergeCell ref="B48:C48"/>
    <mergeCell ref="D48:E48"/>
    <mergeCell ref="A23:A28"/>
    <mergeCell ref="B24:C24"/>
    <mergeCell ref="A30:A34"/>
    <mergeCell ref="B30:C30"/>
    <mergeCell ref="A35:A40"/>
    <mergeCell ref="B35:C35"/>
    <mergeCell ref="D35:E35"/>
    <mergeCell ref="N18:O18"/>
    <mergeCell ref="P18:P19"/>
    <mergeCell ref="Q18:Q19"/>
    <mergeCell ref="P20:P22"/>
    <mergeCell ref="Q20:Q22"/>
    <mergeCell ref="H23:I23"/>
    <mergeCell ref="J23:K23"/>
    <mergeCell ref="N23:O23"/>
    <mergeCell ref="P23:Q23"/>
    <mergeCell ref="A18:A22"/>
    <mergeCell ref="D18:E18"/>
    <mergeCell ref="F18:G18"/>
    <mergeCell ref="H18:I18"/>
    <mergeCell ref="J18:K18"/>
    <mergeCell ref="L18:M18"/>
    <mergeCell ref="L23:M23"/>
    <mergeCell ref="D23:E23"/>
    <mergeCell ref="F23:G23"/>
    <mergeCell ref="D24:E24"/>
    <mergeCell ref="F24:G24"/>
    <mergeCell ref="H24:I24"/>
    <mergeCell ref="J24:K24"/>
    <mergeCell ref="L24:M24"/>
    <mergeCell ref="N30:O30"/>
    <mergeCell ref="A41:Q41"/>
    <mergeCell ref="N24:O24"/>
    <mergeCell ref="P24:Q24"/>
    <mergeCell ref="Q25:Q26"/>
    <mergeCell ref="A29:Q29"/>
    <mergeCell ref="D30:E30"/>
    <mergeCell ref="F30:G30"/>
    <mergeCell ref="H30:I30"/>
    <mergeCell ref="H48:I48"/>
    <mergeCell ref="J48:K48"/>
    <mergeCell ref="P48:Q48"/>
    <mergeCell ref="Q49:Q50"/>
    <mergeCell ref="F4:G4"/>
    <mergeCell ref="H4:I4"/>
    <mergeCell ref="D5:E5"/>
    <mergeCell ref="F5:G5"/>
    <mergeCell ref="D6:E6"/>
    <mergeCell ref="F6:G6"/>
    <mergeCell ref="D11:E11"/>
    <mergeCell ref="F11:G11"/>
    <mergeCell ref="H11:I11"/>
    <mergeCell ref="N12:O12"/>
    <mergeCell ref="P12:Q12"/>
    <mergeCell ref="J11:K11"/>
    <mergeCell ref="L11:M11"/>
    <mergeCell ref="N11:O11"/>
    <mergeCell ref="P11:Q11"/>
    <mergeCell ref="D12:E12"/>
    <mergeCell ref="F12:G12"/>
    <mergeCell ref="H12:I12"/>
    <mergeCell ref="D2:E3"/>
    <mergeCell ref="B4:C4"/>
    <mergeCell ref="D4:E4"/>
    <mergeCell ref="J4:K4"/>
    <mergeCell ref="L4:M4"/>
    <mergeCell ref="N4:O4"/>
    <mergeCell ref="P4:P5"/>
    <mergeCell ref="N5:O5"/>
    <mergeCell ref="N6:O6"/>
    <mergeCell ref="P6:P10"/>
    <mergeCell ref="Q6:Q10"/>
    <mergeCell ref="Q13:Q14"/>
    <mergeCell ref="H5:I5"/>
    <mergeCell ref="J5:K5"/>
    <mergeCell ref="H6:I6"/>
    <mergeCell ref="J6:K6"/>
    <mergeCell ref="L6:M6"/>
    <mergeCell ref="B1:G1"/>
    <mergeCell ref="H1:I3"/>
    <mergeCell ref="J1:O3"/>
    <mergeCell ref="P1:Q3"/>
    <mergeCell ref="F2:G2"/>
    <mergeCell ref="F3:G3"/>
    <mergeCell ref="Q4:Q5"/>
    <mergeCell ref="L5:M5"/>
    <mergeCell ref="J12:K12"/>
    <mergeCell ref="L12:M12"/>
    <mergeCell ref="A17:Q17"/>
    <mergeCell ref="A1:A5"/>
    <mergeCell ref="B5:C5"/>
    <mergeCell ref="A6:A10"/>
    <mergeCell ref="B6:C6"/>
    <mergeCell ref="A11:A16"/>
    <mergeCell ref="B11:C11"/>
    <mergeCell ref="B12:C12"/>
    <mergeCell ref="H35:I35"/>
    <mergeCell ref="J35:K35"/>
    <mergeCell ref="L35:M35"/>
    <mergeCell ref="N35:O35"/>
    <mergeCell ref="J30:K30"/>
    <mergeCell ref="L30:M30"/>
    <mergeCell ref="P30:P31"/>
    <mergeCell ref="Q30:Q31"/>
    <mergeCell ref="P32:P34"/>
    <mergeCell ref="Q32:Q34"/>
    <mergeCell ref="F35:G35"/>
    <mergeCell ref="P35:Q35"/>
    <mergeCell ref="P36:Q36"/>
    <mergeCell ref="Q37:Q38"/>
    <mergeCell ref="B36:C36"/>
    <mergeCell ref="D36:E36"/>
    <mergeCell ref="F36:G36"/>
    <mergeCell ref="H36:I36"/>
    <mergeCell ref="J36:K36"/>
    <mergeCell ref="L36:M36"/>
    <mergeCell ref="N36:O36"/>
    <mergeCell ref="N42:O42"/>
    <mergeCell ref="P42:P43"/>
    <mergeCell ref="Q42:Q43"/>
    <mergeCell ref="P44:P46"/>
    <mergeCell ref="Q44:Q46"/>
    <mergeCell ref="A42:A46"/>
    <mergeCell ref="B42:C42"/>
    <mergeCell ref="D42:E42"/>
    <mergeCell ref="F42:G42"/>
    <mergeCell ref="H42:I42"/>
    <mergeCell ref="J42:K42"/>
    <mergeCell ref="L42:M42"/>
    <mergeCell ref="L48:M48"/>
    <mergeCell ref="N48:O48"/>
    <mergeCell ref="F47:G47"/>
    <mergeCell ref="H47:I47"/>
    <mergeCell ref="J47:K47"/>
    <mergeCell ref="L47:M47"/>
    <mergeCell ref="N47:O47"/>
    <mergeCell ref="P47:Q47"/>
    <mergeCell ref="F48:G48"/>
  </mergeCells>
  <dataValidations>
    <dataValidation type="list" allowBlank="1" showErrorMessage="1" sqref="A11 A23 A35 A47">
      <formula1>"Don't Push/ Strict Paces,Focus on Recovery Don't Push,Focus HEAVILY on Rolling/ Stretching/ Recovery,Fuel Every Quality Session/ TRACK and see what works/ doesn't,Prep/Fuel Like Race Week,If you feel good; close last 10-20% of hard/ long workouts faster,S"&amp;"tay on Top of the Little Things / Be Ready to Push,Focus More on Strength,Last EASY (50%) Strength: Sat or Sun,Schedule Race Prep Call,Communicate Daily w/ Coach"</formula1>
    </dataValidation>
    <dataValidation type="list" allowBlank="1" showErrorMessage="1" sqref="C16 E16 G16 I16 K16 M16 O16 C28 E28 G28 I28 K28 M28 O28 C40 E40 G40 I40 K40 M40 O40 C52 E52 G52 I52 K52 M52 O52">
      <formula1>"1,2,3,4,5,6,7,8,9,10"</formula1>
    </dataValidation>
    <dataValidation type="list" allowBlank="1" showErrorMessage="1" sqref="A6 A18 A30 A42">
      <formula1>"REST WEEK,BUILD WEEK,PUSH WEEK,PEAK WEEK,RACE WEEK,INJURED,ILLNESS,RETURN WEEK,CROSS TRAINING,TRAVEL/ LIMITED WEEK"</formula1>
    </dataValidation>
    <dataValidation type="list" allowBlank="1" showErrorMessage="1" sqref="C15 E15 G15 I15 K15 M15 O15 C27 E27 G27 I27 K27 M27 O27 C39 E39 G39 I39 K39 M39 O39 C51 E51 G51 I51 K51 M51 O51">
      <formula1>"Yes,No"</formula1>
    </dataValidation>
  </dataValidations>
  <hyperlinks>
    <hyperlink r:id="rId1" ref="D2"/>
    <hyperlink r:id="rId2" ref="F2"/>
    <hyperlink r:id="rId3" ref="F3"/>
  </hyperlinks>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 customWidth="1" min="2" max="2" width="18.13"/>
    <col customWidth="1" min="3" max="3" width="14.13"/>
    <col customWidth="1" min="4" max="4" width="21.88"/>
    <col customWidth="1" min="5" max="5" width="14.63"/>
    <col customWidth="1" min="6" max="6" width="21.25"/>
    <col customWidth="1" min="8" max="8" width="22.75"/>
    <col customWidth="1" min="10" max="10" width="18.13"/>
    <col customWidth="1" min="12" max="12" width="23.75"/>
    <col customWidth="1" min="14" max="14" width="23.38"/>
    <col customWidth="1" min="17" max="17" width="14.25"/>
  </cols>
  <sheetData>
    <row r="1">
      <c r="A1" s="238" t="str">
        <f>'February '!A1</f>
        <v>STRAVA</v>
      </c>
      <c r="B1" s="190" t="s">
        <v>336</v>
      </c>
      <c r="C1" s="23"/>
      <c r="D1" s="23"/>
      <c r="E1" s="23"/>
      <c r="F1" s="23"/>
      <c r="G1" s="23"/>
      <c r="H1" s="191" t="s">
        <v>272</v>
      </c>
      <c r="I1" s="48"/>
      <c r="J1" s="192" t="s">
        <v>337</v>
      </c>
      <c r="K1" s="48"/>
      <c r="L1" s="48"/>
      <c r="M1" s="48"/>
      <c r="N1" s="48"/>
      <c r="O1" s="48"/>
      <c r="P1" s="193"/>
      <c r="Q1" s="42"/>
    </row>
    <row r="2">
      <c r="A2" s="49"/>
      <c r="B2" s="194" t="s">
        <v>274</v>
      </c>
      <c r="C2" s="237" t="str">
        <f>'February '!C2</f>
        <v>1.5 mile</v>
      </c>
      <c r="D2" s="196" t="s">
        <v>276</v>
      </c>
      <c r="E2" s="48"/>
      <c r="F2" s="197" t="s">
        <v>277</v>
      </c>
      <c r="G2" s="24"/>
      <c r="H2" s="50"/>
      <c r="P2" s="50"/>
      <c r="Q2" s="51"/>
    </row>
    <row r="3">
      <c r="A3" s="49"/>
      <c r="B3" s="198" t="s">
        <v>278</v>
      </c>
      <c r="C3" s="237" t="str">
        <f>'February '!C3</f>
        <v>1.5 mile</v>
      </c>
      <c r="D3" s="50"/>
      <c r="F3" s="199" t="s">
        <v>279</v>
      </c>
      <c r="G3" s="24"/>
      <c r="H3" s="50"/>
      <c r="P3" s="53"/>
      <c r="Q3" s="54"/>
    </row>
    <row r="4">
      <c r="A4" s="49"/>
      <c r="B4" s="200" t="s">
        <v>280</v>
      </c>
      <c r="C4" s="24"/>
      <c r="D4" s="201" t="s">
        <v>281</v>
      </c>
      <c r="E4" s="24"/>
      <c r="F4" s="201" t="s">
        <v>282</v>
      </c>
      <c r="G4" s="24"/>
      <c r="H4" s="201" t="s">
        <v>283</v>
      </c>
      <c r="I4" s="24"/>
      <c r="J4" s="201" t="s">
        <v>284</v>
      </c>
      <c r="K4" s="24"/>
      <c r="L4" s="201" t="s">
        <v>285</v>
      </c>
      <c r="M4" s="24"/>
      <c r="N4" s="201" t="s">
        <v>286</v>
      </c>
      <c r="O4" s="24"/>
      <c r="P4" s="202" t="s">
        <v>287</v>
      </c>
      <c r="Q4" s="202" t="s">
        <v>288</v>
      </c>
    </row>
    <row r="5">
      <c r="A5" s="3"/>
      <c r="B5" s="203" t="str">
        <f>'February '!B5</f>
        <v>EASY RUN</v>
      </c>
      <c r="C5" s="24"/>
      <c r="D5" s="203" t="str">
        <f>'February '!D5</f>
        <v>HARD WORKOUT
&amp; STRENGTH</v>
      </c>
      <c r="E5" s="24"/>
      <c r="F5" s="203" t="str">
        <f>'February '!F5</f>
        <v>EASY RUN</v>
      </c>
      <c r="G5" s="24"/>
      <c r="H5" s="203" t="str">
        <f>'February '!H5</f>
        <v>HARD WORKOUT
&amp; STRENGTH</v>
      </c>
      <c r="I5" s="24"/>
      <c r="J5" s="203" t="str">
        <f>'February '!J5</f>
        <v>REST</v>
      </c>
      <c r="K5" s="24"/>
      <c r="L5" s="203" t="str">
        <f>'February '!L5</f>
        <v>LONG RUN</v>
      </c>
      <c r="M5" s="24"/>
      <c r="N5" s="239" t="str">
        <f>'February '!N5</f>
        <v>REST OR EASY RUN</v>
      </c>
      <c r="O5" s="24"/>
      <c r="P5" s="54"/>
      <c r="Q5" s="54"/>
    </row>
    <row r="6">
      <c r="A6" s="204" t="s">
        <v>294</v>
      </c>
      <c r="B6" s="240">
        <v>46083.0</v>
      </c>
      <c r="C6" s="24"/>
      <c r="D6" s="240">
        <v>46084.0</v>
      </c>
      <c r="E6" s="24"/>
      <c r="F6" s="240">
        <v>46085.0</v>
      </c>
      <c r="G6" s="24"/>
      <c r="H6" s="240">
        <v>46086.0</v>
      </c>
      <c r="I6" s="24"/>
      <c r="J6" s="240">
        <v>46087.0</v>
      </c>
      <c r="K6" s="24"/>
      <c r="L6" s="240">
        <v>46088.0</v>
      </c>
      <c r="M6" s="24"/>
      <c r="N6" s="240">
        <v>46089.0</v>
      </c>
      <c r="O6" s="24"/>
      <c r="P6" s="206">
        <f>SUM(B7,D7,F7,H7,J7,L7,N7)</f>
        <v>46</v>
      </c>
      <c r="Q6" s="207"/>
    </row>
    <row r="7">
      <c r="A7" s="49"/>
      <c r="B7" s="208">
        <v>5.0</v>
      </c>
      <c r="C7" s="209" t="s">
        <v>295</v>
      </c>
      <c r="D7" s="210">
        <v>8.0</v>
      </c>
      <c r="E7" s="209" t="s">
        <v>295</v>
      </c>
      <c r="F7" s="208">
        <v>5.0</v>
      </c>
      <c r="G7" s="209" t="s">
        <v>295</v>
      </c>
      <c r="H7" s="210">
        <v>5.0</v>
      </c>
      <c r="I7" s="209" t="s">
        <v>295</v>
      </c>
      <c r="J7" s="210">
        <v>0.0</v>
      </c>
      <c r="K7" s="209" t="s">
        <v>295</v>
      </c>
      <c r="L7" s="210">
        <v>18.0</v>
      </c>
      <c r="M7" s="209" t="s">
        <v>295</v>
      </c>
      <c r="N7" s="208">
        <v>5.0</v>
      </c>
      <c r="O7" s="209" t="s">
        <v>295</v>
      </c>
      <c r="P7" s="49"/>
      <c r="Q7" s="49"/>
    </row>
    <row r="8">
      <c r="A8" s="49"/>
      <c r="B8" s="211" t="s">
        <v>296</v>
      </c>
      <c r="C8" s="212"/>
      <c r="D8" s="213" t="s">
        <v>338</v>
      </c>
      <c r="E8" s="212"/>
      <c r="F8" s="211" t="s">
        <v>296</v>
      </c>
      <c r="G8" s="212"/>
      <c r="H8" s="213" t="s">
        <v>299</v>
      </c>
      <c r="I8" s="212"/>
      <c r="J8" s="213" t="s">
        <v>300</v>
      </c>
      <c r="K8" s="212"/>
      <c r="L8" s="213" t="s">
        <v>339</v>
      </c>
      <c r="M8" s="212"/>
      <c r="N8" s="211" t="s">
        <v>296</v>
      </c>
      <c r="O8" s="212"/>
      <c r="P8" s="49"/>
      <c r="Q8" s="49"/>
    </row>
    <row r="9">
      <c r="A9" s="49"/>
      <c r="B9" s="209" t="s">
        <v>302</v>
      </c>
      <c r="C9" s="209" t="s">
        <v>303</v>
      </c>
      <c r="D9" s="209" t="s">
        <v>302</v>
      </c>
      <c r="E9" s="209" t="s">
        <v>303</v>
      </c>
      <c r="F9" s="209" t="s">
        <v>302</v>
      </c>
      <c r="G9" s="209" t="s">
        <v>303</v>
      </c>
      <c r="H9" s="209" t="s">
        <v>302</v>
      </c>
      <c r="I9" s="209" t="s">
        <v>303</v>
      </c>
      <c r="J9" s="209" t="s">
        <v>302</v>
      </c>
      <c r="K9" s="209" t="s">
        <v>303</v>
      </c>
      <c r="L9" s="209" t="s">
        <v>302</v>
      </c>
      <c r="M9" s="209" t="s">
        <v>303</v>
      </c>
      <c r="N9" s="209" t="s">
        <v>302</v>
      </c>
      <c r="O9" s="209" t="s">
        <v>303</v>
      </c>
      <c r="P9" s="49"/>
      <c r="Q9" s="49"/>
    </row>
    <row r="10">
      <c r="A10" s="49"/>
      <c r="B10" s="214"/>
      <c r="C10" s="214"/>
      <c r="D10" s="214"/>
      <c r="E10" s="214"/>
      <c r="F10" s="214"/>
      <c r="G10" s="214"/>
      <c r="H10" s="214"/>
      <c r="I10" s="214"/>
      <c r="J10" s="214"/>
      <c r="K10" s="214"/>
      <c r="L10" s="214"/>
      <c r="M10" s="215"/>
      <c r="N10" s="214"/>
      <c r="O10" s="214"/>
      <c r="P10" s="3"/>
      <c r="Q10" s="3"/>
    </row>
    <row r="11">
      <c r="A11" s="216" t="s">
        <v>304</v>
      </c>
      <c r="B11" s="217" t="s">
        <v>305</v>
      </c>
      <c r="C11" s="24"/>
      <c r="D11" s="217" t="s">
        <v>305</v>
      </c>
      <c r="E11" s="24"/>
      <c r="F11" s="217" t="s">
        <v>305</v>
      </c>
      <c r="G11" s="24"/>
      <c r="H11" s="217" t="s">
        <v>305</v>
      </c>
      <c r="I11" s="24"/>
      <c r="J11" s="217" t="s">
        <v>305</v>
      </c>
      <c r="K11" s="24"/>
      <c r="L11" s="217" t="s">
        <v>305</v>
      </c>
      <c r="M11" s="24"/>
      <c r="N11" s="217" t="s">
        <v>305</v>
      </c>
      <c r="O11" s="24"/>
      <c r="P11" s="218" t="s">
        <v>306</v>
      </c>
      <c r="Q11" s="24"/>
    </row>
    <row r="12">
      <c r="A12" s="49"/>
      <c r="B12" s="219"/>
      <c r="C12" s="24"/>
      <c r="D12" s="219"/>
      <c r="E12" s="24"/>
      <c r="F12" s="219"/>
      <c r="G12" s="24"/>
      <c r="H12" s="219"/>
      <c r="I12" s="24"/>
      <c r="J12" s="219"/>
      <c r="K12" s="24"/>
      <c r="L12" s="219"/>
      <c r="M12" s="24"/>
      <c r="N12" s="219"/>
      <c r="O12" s="24"/>
      <c r="P12" s="219"/>
      <c r="Q12" s="24"/>
    </row>
    <row r="13">
      <c r="A13" s="49"/>
      <c r="B13" s="220" t="s">
        <v>307</v>
      </c>
      <c r="C13" s="221" t="b">
        <v>0</v>
      </c>
      <c r="D13" s="220" t="s">
        <v>307</v>
      </c>
      <c r="E13" s="223" t="b">
        <v>0</v>
      </c>
      <c r="F13" s="220" t="s">
        <v>307</v>
      </c>
      <c r="G13" s="223" t="b">
        <v>0</v>
      </c>
      <c r="H13" s="220" t="s">
        <v>307</v>
      </c>
      <c r="I13" s="223" t="b">
        <v>0</v>
      </c>
      <c r="J13" s="220" t="s">
        <v>307</v>
      </c>
      <c r="K13" s="223" t="b">
        <v>0</v>
      </c>
      <c r="L13" s="220" t="s">
        <v>307</v>
      </c>
      <c r="M13" s="223" t="b">
        <v>0</v>
      </c>
      <c r="N13" s="220" t="s">
        <v>307</v>
      </c>
      <c r="O13" s="223" t="b">
        <v>0</v>
      </c>
      <c r="P13" s="224">
        <f t="shared" ref="P13:P14" si="1">COUNTIF(B13:O13,True)/COUNTA(B13:O13)%/50</f>
        <v>0</v>
      </c>
      <c r="Q13" s="225" t="s">
        <v>308</v>
      </c>
    </row>
    <row r="14">
      <c r="A14" s="49"/>
      <c r="B14" s="220" t="s">
        <v>309</v>
      </c>
      <c r="C14" s="221" t="b">
        <v>0</v>
      </c>
      <c r="D14" s="220" t="s">
        <v>309</v>
      </c>
      <c r="E14" s="221" t="b">
        <v>0</v>
      </c>
      <c r="F14" s="220" t="s">
        <v>309</v>
      </c>
      <c r="G14" s="223" t="b">
        <v>0</v>
      </c>
      <c r="H14" s="220" t="s">
        <v>309</v>
      </c>
      <c r="I14" s="223" t="b">
        <v>0</v>
      </c>
      <c r="J14" s="220" t="s">
        <v>309</v>
      </c>
      <c r="K14" s="223" t="b">
        <v>0</v>
      </c>
      <c r="L14" s="220" t="s">
        <v>309</v>
      </c>
      <c r="M14" s="223" t="b">
        <v>0</v>
      </c>
      <c r="N14" s="220" t="s">
        <v>309</v>
      </c>
      <c r="O14" s="223" t="b">
        <v>0</v>
      </c>
      <c r="P14" s="224">
        <f t="shared" si="1"/>
        <v>0</v>
      </c>
      <c r="Q14" s="3"/>
    </row>
    <row r="15">
      <c r="A15" s="49"/>
      <c r="B15" s="226" t="s">
        <v>310</v>
      </c>
      <c r="C15" s="227"/>
      <c r="D15" s="226" t="s">
        <v>310</v>
      </c>
      <c r="E15" s="227"/>
      <c r="F15" s="226" t="s">
        <v>310</v>
      </c>
      <c r="G15" s="227"/>
      <c r="H15" s="226" t="s">
        <v>310</v>
      </c>
      <c r="I15" s="227"/>
      <c r="J15" s="226" t="s">
        <v>310</v>
      </c>
      <c r="K15" s="227"/>
      <c r="L15" s="226" t="s">
        <v>310</v>
      </c>
      <c r="M15" s="227"/>
      <c r="N15" s="226" t="s">
        <v>310</v>
      </c>
      <c r="O15" s="227"/>
      <c r="P15" s="228">
        <f>COUNTIF(B15:O15,"Yes")</f>
        <v>0</v>
      </c>
      <c r="Q15" s="229" t="s">
        <v>311</v>
      </c>
    </row>
    <row r="16">
      <c r="A16" s="3"/>
      <c r="B16" s="230" t="s">
        <v>312</v>
      </c>
      <c r="C16" s="231"/>
      <c r="D16" s="230" t="s">
        <v>312</v>
      </c>
      <c r="E16" s="231"/>
      <c r="F16" s="230" t="s">
        <v>312</v>
      </c>
      <c r="G16" s="231"/>
      <c r="H16" s="230" t="s">
        <v>312</v>
      </c>
      <c r="I16" s="231"/>
      <c r="J16" s="230" t="s">
        <v>312</v>
      </c>
      <c r="K16" s="231"/>
      <c r="L16" s="230" t="s">
        <v>312</v>
      </c>
      <c r="M16" s="231"/>
      <c r="N16" s="230" t="s">
        <v>312</v>
      </c>
      <c r="O16" s="231"/>
      <c r="P16" s="232">
        <f>SUM(C16,E16,G16,I16,K16,M16,O16)/7</f>
        <v>0</v>
      </c>
      <c r="Q16" s="230" t="s">
        <v>313</v>
      </c>
    </row>
    <row r="17" ht="10.5" customHeight="1">
      <c r="A17" s="233"/>
      <c r="B17" s="55"/>
      <c r="C17" s="55"/>
      <c r="D17" s="55"/>
      <c r="E17" s="55"/>
      <c r="F17" s="55"/>
      <c r="G17" s="55"/>
      <c r="H17" s="55"/>
      <c r="I17" s="55"/>
      <c r="J17" s="55"/>
      <c r="K17" s="55"/>
      <c r="L17" s="55"/>
      <c r="M17" s="55"/>
      <c r="N17" s="55"/>
      <c r="O17" s="55"/>
      <c r="P17" s="55"/>
      <c r="Q17" s="54"/>
    </row>
    <row r="18">
      <c r="A18" s="204" t="s">
        <v>321</v>
      </c>
      <c r="B18" s="240">
        <v>46090.0</v>
      </c>
      <c r="C18" s="24"/>
      <c r="D18" s="240">
        <v>46091.0</v>
      </c>
      <c r="E18" s="24"/>
      <c r="F18" s="240">
        <v>46092.0</v>
      </c>
      <c r="G18" s="24"/>
      <c r="H18" s="240">
        <v>46093.0</v>
      </c>
      <c r="I18" s="24"/>
      <c r="J18" s="240">
        <v>46094.0</v>
      </c>
      <c r="K18" s="24"/>
      <c r="L18" s="240">
        <v>46095.0</v>
      </c>
      <c r="M18" s="24"/>
      <c r="N18" s="240">
        <v>46096.0</v>
      </c>
      <c r="O18" s="24"/>
      <c r="P18" s="202" t="s">
        <v>287</v>
      </c>
      <c r="Q18" s="202" t="s">
        <v>288</v>
      </c>
    </row>
    <row r="19">
      <c r="A19" s="49"/>
      <c r="B19" s="208">
        <v>5.0</v>
      </c>
      <c r="C19" s="209" t="s">
        <v>295</v>
      </c>
      <c r="D19" s="210">
        <v>19.0</v>
      </c>
      <c r="E19" s="209" t="s">
        <v>295</v>
      </c>
      <c r="F19" s="208">
        <v>5.0</v>
      </c>
      <c r="G19" s="209" t="s">
        <v>295</v>
      </c>
      <c r="H19" s="208">
        <v>5.0</v>
      </c>
      <c r="I19" s="209" t="s">
        <v>295</v>
      </c>
      <c r="J19" s="210">
        <v>0.0</v>
      </c>
      <c r="K19" s="209" t="s">
        <v>295</v>
      </c>
      <c r="L19" s="210">
        <v>9.0</v>
      </c>
      <c r="M19" s="209" t="s">
        <v>295</v>
      </c>
      <c r="N19" s="208">
        <v>5.0</v>
      </c>
      <c r="O19" s="209" t="s">
        <v>295</v>
      </c>
      <c r="P19" s="54"/>
      <c r="Q19" s="54"/>
    </row>
    <row r="20">
      <c r="A20" s="49"/>
      <c r="B20" s="211" t="s">
        <v>296</v>
      </c>
      <c r="C20" s="212"/>
      <c r="D20" s="213" t="s">
        <v>340</v>
      </c>
      <c r="E20" s="212"/>
      <c r="F20" s="211" t="s">
        <v>296</v>
      </c>
      <c r="G20" s="212"/>
      <c r="H20" s="211" t="s">
        <v>296</v>
      </c>
      <c r="I20" s="212"/>
      <c r="J20" s="213" t="s">
        <v>300</v>
      </c>
      <c r="K20" s="212"/>
      <c r="L20" s="213" t="s">
        <v>341</v>
      </c>
      <c r="M20" s="212"/>
      <c r="N20" s="211" t="s">
        <v>296</v>
      </c>
      <c r="O20" s="212"/>
      <c r="P20" s="206">
        <f>SUM(B19,D19,F19,H19,J19,L19,N19)</f>
        <v>48</v>
      </c>
      <c r="Q20" s="234"/>
    </row>
    <row r="21">
      <c r="A21" s="49"/>
      <c r="B21" s="209" t="s">
        <v>302</v>
      </c>
      <c r="C21" s="209" t="s">
        <v>303</v>
      </c>
      <c r="D21" s="209" t="s">
        <v>302</v>
      </c>
      <c r="E21" s="209" t="s">
        <v>303</v>
      </c>
      <c r="F21" s="209" t="s">
        <v>302</v>
      </c>
      <c r="G21" s="209" t="s">
        <v>303</v>
      </c>
      <c r="H21" s="209" t="s">
        <v>302</v>
      </c>
      <c r="I21" s="209" t="s">
        <v>303</v>
      </c>
      <c r="J21" s="209" t="s">
        <v>302</v>
      </c>
      <c r="K21" s="209" t="s">
        <v>303</v>
      </c>
      <c r="L21" s="209" t="s">
        <v>302</v>
      </c>
      <c r="M21" s="209" t="s">
        <v>303</v>
      </c>
      <c r="N21" s="209" t="s">
        <v>302</v>
      </c>
      <c r="O21" s="209" t="s">
        <v>303</v>
      </c>
      <c r="P21" s="49"/>
      <c r="Q21" s="49"/>
    </row>
    <row r="22">
      <c r="A22" s="49"/>
      <c r="B22" s="214"/>
      <c r="C22" s="214"/>
      <c r="D22" s="214"/>
      <c r="E22" s="214"/>
      <c r="F22" s="214"/>
      <c r="G22" s="214"/>
      <c r="H22" s="214"/>
      <c r="I22" s="214"/>
      <c r="J22" s="214"/>
      <c r="K22" s="214"/>
      <c r="L22" s="214"/>
      <c r="M22" s="215"/>
      <c r="N22" s="214"/>
      <c r="O22" s="214"/>
      <c r="P22" s="3"/>
      <c r="Q22" s="3"/>
    </row>
    <row r="23">
      <c r="A23" s="216" t="s">
        <v>335</v>
      </c>
      <c r="B23" s="217" t="s">
        <v>305</v>
      </c>
      <c r="C23" s="24"/>
      <c r="D23" s="217" t="s">
        <v>305</v>
      </c>
      <c r="E23" s="24"/>
      <c r="F23" s="217" t="s">
        <v>305</v>
      </c>
      <c r="G23" s="24"/>
      <c r="H23" s="217" t="s">
        <v>305</v>
      </c>
      <c r="I23" s="24"/>
      <c r="J23" s="217" t="s">
        <v>305</v>
      </c>
      <c r="K23" s="24"/>
      <c r="L23" s="217" t="s">
        <v>305</v>
      </c>
      <c r="M23" s="24"/>
      <c r="N23" s="217" t="s">
        <v>305</v>
      </c>
      <c r="O23" s="24"/>
      <c r="P23" s="218" t="s">
        <v>306</v>
      </c>
      <c r="Q23" s="24"/>
    </row>
    <row r="24">
      <c r="A24" s="49"/>
      <c r="B24" s="219"/>
      <c r="C24" s="24"/>
      <c r="D24" s="219"/>
      <c r="E24" s="24"/>
      <c r="F24" s="219"/>
      <c r="G24" s="24"/>
      <c r="H24" s="219"/>
      <c r="I24" s="24"/>
      <c r="J24" s="219"/>
      <c r="K24" s="24"/>
      <c r="L24" s="219"/>
      <c r="M24" s="24"/>
      <c r="N24" s="219"/>
      <c r="O24" s="24"/>
      <c r="P24" s="219"/>
      <c r="Q24" s="24"/>
    </row>
    <row r="25">
      <c r="A25" s="49"/>
      <c r="B25" s="220" t="s">
        <v>307</v>
      </c>
      <c r="C25" s="221" t="b">
        <v>0</v>
      </c>
      <c r="D25" s="220" t="s">
        <v>307</v>
      </c>
      <c r="E25" s="223" t="b">
        <v>0</v>
      </c>
      <c r="F25" s="220" t="s">
        <v>307</v>
      </c>
      <c r="G25" s="223" t="b">
        <v>0</v>
      </c>
      <c r="H25" s="220" t="s">
        <v>307</v>
      </c>
      <c r="I25" s="223" t="b">
        <v>0</v>
      </c>
      <c r="J25" s="220" t="s">
        <v>307</v>
      </c>
      <c r="K25" s="223" t="b">
        <v>0</v>
      </c>
      <c r="L25" s="220" t="s">
        <v>307</v>
      </c>
      <c r="M25" s="223" t="b">
        <v>0</v>
      </c>
      <c r="N25" s="220" t="s">
        <v>307</v>
      </c>
      <c r="O25" s="223" t="b">
        <v>0</v>
      </c>
      <c r="P25" s="224">
        <f t="shared" ref="P25:P26" si="2">COUNTIF(B25:O25,True)/COUNTA(B25:O25)%/50</f>
        <v>0</v>
      </c>
      <c r="Q25" s="225" t="s">
        <v>308</v>
      </c>
    </row>
    <row r="26">
      <c r="A26" s="49"/>
      <c r="B26" s="220" t="s">
        <v>309</v>
      </c>
      <c r="C26" s="221" t="b">
        <v>0</v>
      </c>
      <c r="D26" s="220" t="s">
        <v>309</v>
      </c>
      <c r="E26" s="221" t="b">
        <v>0</v>
      </c>
      <c r="F26" s="220" t="s">
        <v>309</v>
      </c>
      <c r="G26" s="223" t="b">
        <v>0</v>
      </c>
      <c r="H26" s="220" t="s">
        <v>309</v>
      </c>
      <c r="I26" s="223" t="b">
        <v>0</v>
      </c>
      <c r="J26" s="220" t="s">
        <v>309</v>
      </c>
      <c r="K26" s="223" t="b">
        <v>0</v>
      </c>
      <c r="L26" s="220" t="s">
        <v>309</v>
      </c>
      <c r="M26" s="223" t="b">
        <v>0</v>
      </c>
      <c r="N26" s="220" t="s">
        <v>309</v>
      </c>
      <c r="O26" s="223" t="b">
        <v>0</v>
      </c>
      <c r="P26" s="224">
        <f t="shared" si="2"/>
        <v>0</v>
      </c>
      <c r="Q26" s="3"/>
    </row>
    <row r="27">
      <c r="A27" s="49"/>
      <c r="B27" s="226" t="s">
        <v>310</v>
      </c>
      <c r="C27" s="227"/>
      <c r="D27" s="226" t="s">
        <v>310</v>
      </c>
      <c r="E27" s="227"/>
      <c r="F27" s="226" t="s">
        <v>310</v>
      </c>
      <c r="G27" s="227"/>
      <c r="H27" s="226" t="s">
        <v>310</v>
      </c>
      <c r="I27" s="227"/>
      <c r="J27" s="226" t="s">
        <v>310</v>
      </c>
      <c r="K27" s="227"/>
      <c r="L27" s="226" t="s">
        <v>310</v>
      </c>
      <c r="M27" s="227"/>
      <c r="N27" s="226" t="s">
        <v>310</v>
      </c>
      <c r="O27" s="227"/>
      <c r="P27" s="228">
        <f>COUNTIF(B27:O27,"Yes")</f>
        <v>0</v>
      </c>
      <c r="Q27" s="229" t="s">
        <v>311</v>
      </c>
    </row>
    <row r="28">
      <c r="A28" s="3"/>
      <c r="B28" s="230" t="s">
        <v>312</v>
      </c>
      <c r="C28" s="231"/>
      <c r="D28" s="230" t="s">
        <v>312</v>
      </c>
      <c r="E28" s="231"/>
      <c r="F28" s="230" t="s">
        <v>312</v>
      </c>
      <c r="G28" s="231"/>
      <c r="H28" s="230" t="s">
        <v>312</v>
      </c>
      <c r="I28" s="231"/>
      <c r="J28" s="230" t="s">
        <v>312</v>
      </c>
      <c r="K28" s="231"/>
      <c r="L28" s="230" t="s">
        <v>312</v>
      </c>
      <c r="M28" s="231"/>
      <c r="N28" s="230" t="s">
        <v>312</v>
      </c>
      <c r="O28" s="231"/>
      <c r="P28" s="232">
        <f>SUM(C28,E28,G28,I28,K28,M28,O28)/7</f>
        <v>0</v>
      </c>
      <c r="Q28" s="230" t="s">
        <v>313</v>
      </c>
    </row>
    <row r="29" ht="10.5" customHeight="1">
      <c r="A29" s="233"/>
      <c r="B29" s="55"/>
      <c r="C29" s="55"/>
      <c r="D29" s="55"/>
      <c r="E29" s="55"/>
      <c r="F29" s="55"/>
      <c r="G29" s="55"/>
      <c r="H29" s="55"/>
      <c r="I29" s="55"/>
      <c r="J29" s="55"/>
      <c r="K29" s="55"/>
      <c r="L29" s="55"/>
      <c r="M29" s="55"/>
      <c r="N29" s="55"/>
      <c r="O29" s="55"/>
      <c r="P29" s="55"/>
      <c r="Q29" s="54"/>
    </row>
    <row r="30">
      <c r="A30" s="204" t="s">
        <v>342</v>
      </c>
      <c r="B30" s="241">
        <v>46097.0</v>
      </c>
      <c r="C30" s="24"/>
      <c r="D30" s="241">
        <v>46098.0</v>
      </c>
      <c r="E30" s="24"/>
      <c r="F30" s="241">
        <v>46099.0</v>
      </c>
      <c r="G30" s="24"/>
      <c r="H30" s="241">
        <v>46100.0</v>
      </c>
      <c r="I30" s="24"/>
      <c r="J30" s="241">
        <v>46101.0</v>
      </c>
      <c r="K30" s="24"/>
      <c r="L30" s="241">
        <v>46102.0</v>
      </c>
      <c r="M30" s="24"/>
      <c r="N30" s="241">
        <v>46103.0</v>
      </c>
      <c r="O30" s="24"/>
      <c r="P30" s="202" t="s">
        <v>287</v>
      </c>
      <c r="Q30" s="202" t="s">
        <v>288</v>
      </c>
    </row>
    <row r="31">
      <c r="A31" s="49"/>
      <c r="B31" s="210">
        <v>4.0</v>
      </c>
      <c r="C31" s="209" t="s">
        <v>295</v>
      </c>
      <c r="D31" s="210">
        <v>8.0</v>
      </c>
      <c r="E31" s="209" t="s">
        <v>295</v>
      </c>
      <c r="F31" s="210">
        <v>4.0</v>
      </c>
      <c r="G31" s="209" t="s">
        <v>295</v>
      </c>
      <c r="H31" s="210">
        <v>5.0</v>
      </c>
      <c r="I31" s="209" t="s">
        <v>295</v>
      </c>
      <c r="J31" s="210">
        <v>0.0</v>
      </c>
      <c r="K31" s="209" t="s">
        <v>295</v>
      </c>
      <c r="L31" s="210">
        <v>14.0</v>
      </c>
      <c r="M31" s="209" t="s">
        <v>295</v>
      </c>
      <c r="N31" s="210">
        <v>0.0</v>
      </c>
      <c r="O31" s="209" t="s">
        <v>295</v>
      </c>
      <c r="P31" s="54"/>
      <c r="Q31" s="54"/>
    </row>
    <row r="32">
      <c r="A32" s="49"/>
      <c r="B32" s="213" t="s">
        <v>343</v>
      </c>
      <c r="C32" s="212"/>
      <c r="D32" s="213" t="s">
        <v>344</v>
      </c>
      <c r="E32" s="212"/>
      <c r="F32" s="213" t="s">
        <v>343</v>
      </c>
      <c r="G32" s="212"/>
      <c r="H32" s="213" t="s">
        <v>345</v>
      </c>
      <c r="I32" s="212"/>
      <c r="J32" s="213" t="s">
        <v>300</v>
      </c>
      <c r="K32" s="212"/>
      <c r="L32" s="213" t="s">
        <v>346</v>
      </c>
      <c r="M32" s="212"/>
      <c r="N32" s="213" t="s">
        <v>300</v>
      </c>
      <c r="O32" s="212"/>
      <c r="P32" s="206">
        <f>SUM(B31,D31,F31,H31,J31,L31,N31)</f>
        <v>35</v>
      </c>
      <c r="Q32" s="234"/>
    </row>
    <row r="33">
      <c r="A33" s="49"/>
      <c r="B33" s="209" t="s">
        <v>302</v>
      </c>
      <c r="C33" s="209" t="s">
        <v>303</v>
      </c>
      <c r="D33" s="209" t="s">
        <v>302</v>
      </c>
      <c r="E33" s="209" t="s">
        <v>303</v>
      </c>
      <c r="F33" s="209" t="s">
        <v>302</v>
      </c>
      <c r="G33" s="209" t="s">
        <v>303</v>
      </c>
      <c r="H33" s="209" t="s">
        <v>302</v>
      </c>
      <c r="I33" s="209" t="s">
        <v>303</v>
      </c>
      <c r="J33" s="209" t="s">
        <v>302</v>
      </c>
      <c r="K33" s="209" t="s">
        <v>303</v>
      </c>
      <c r="L33" s="209" t="s">
        <v>302</v>
      </c>
      <c r="M33" s="209" t="s">
        <v>303</v>
      </c>
      <c r="N33" s="209" t="s">
        <v>302</v>
      </c>
      <c r="O33" s="209" t="s">
        <v>303</v>
      </c>
      <c r="P33" s="49"/>
      <c r="Q33" s="49"/>
    </row>
    <row r="34">
      <c r="A34" s="49"/>
      <c r="B34" s="214"/>
      <c r="C34" s="214"/>
      <c r="D34" s="214"/>
      <c r="E34" s="214"/>
      <c r="F34" s="214"/>
      <c r="G34" s="214"/>
      <c r="H34" s="214"/>
      <c r="I34" s="214"/>
      <c r="J34" s="214"/>
      <c r="K34" s="214"/>
      <c r="L34" s="214"/>
      <c r="M34" s="215"/>
      <c r="N34" s="214"/>
      <c r="O34" s="214"/>
      <c r="P34" s="3"/>
      <c r="Q34" s="3"/>
    </row>
    <row r="35">
      <c r="A35" s="216" t="s">
        <v>332</v>
      </c>
      <c r="B35" s="217" t="s">
        <v>305</v>
      </c>
      <c r="C35" s="24"/>
      <c r="D35" s="217" t="s">
        <v>305</v>
      </c>
      <c r="E35" s="24"/>
      <c r="F35" s="217" t="s">
        <v>305</v>
      </c>
      <c r="G35" s="24"/>
      <c r="H35" s="217" t="s">
        <v>305</v>
      </c>
      <c r="I35" s="24"/>
      <c r="J35" s="217" t="s">
        <v>305</v>
      </c>
      <c r="K35" s="24"/>
      <c r="L35" s="217" t="s">
        <v>305</v>
      </c>
      <c r="M35" s="24"/>
      <c r="N35" s="217" t="s">
        <v>305</v>
      </c>
      <c r="O35" s="24"/>
      <c r="P35" s="218" t="s">
        <v>306</v>
      </c>
      <c r="Q35" s="24"/>
    </row>
    <row r="36">
      <c r="A36" s="49"/>
      <c r="B36" s="219"/>
      <c r="C36" s="24"/>
      <c r="D36" s="219"/>
      <c r="E36" s="24"/>
      <c r="F36" s="219"/>
      <c r="G36" s="24"/>
      <c r="H36" s="219"/>
      <c r="I36" s="24"/>
      <c r="J36" s="219"/>
      <c r="K36" s="24"/>
      <c r="L36" s="219"/>
      <c r="M36" s="24"/>
      <c r="N36" s="219"/>
      <c r="O36" s="24"/>
      <c r="P36" s="219"/>
      <c r="Q36" s="24"/>
    </row>
    <row r="37">
      <c r="A37" s="49"/>
      <c r="B37" s="220" t="s">
        <v>307</v>
      </c>
      <c r="C37" s="221" t="b">
        <v>0</v>
      </c>
      <c r="D37" s="220" t="s">
        <v>307</v>
      </c>
      <c r="E37" s="223" t="b">
        <v>0</v>
      </c>
      <c r="F37" s="220" t="s">
        <v>307</v>
      </c>
      <c r="G37" s="223" t="b">
        <v>0</v>
      </c>
      <c r="H37" s="220" t="s">
        <v>307</v>
      </c>
      <c r="I37" s="223" t="b">
        <v>0</v>
      </c>
      <c r="J37" s="220" t="s">
        <v>307</v>
      </c>
      <c r="K37" s="223" t="b">
        <v>0</v>
      </c>
      <c r="L37" s="220" t="s">
        <v>307</v>
      </c>
      <c r="M37" s="223" t="b">
        <v>0</v>
      </c>
      <c r="N37" s="220" t="s">
        <v>307</v>
      </c>
      <c r="O37" s="223" t="b">
        <v>0</v>
      </c>
      <c r="P37" s="224">
        <f t="shared" ref="P37:P38" si="3">COUNTIF(B37:O37,True)/COUNTA(B37:O37)%/50</f>
        <v>0</v>
      </c>
      <c r="Q37" s="225" t="s">
        <v>308</v>
      </c>
    </row>
    <row r="38">
      <c r="A38" s="49"/>
      <c r="B38" s="220" t="s">
        <v>309</v>
      </c>
      <c r="C38" s="221" t="b">
        <v>0</v>
      </c>
      <c r="D38" s="220" t="s">
        <v>309</v>
      </c>
      <c r="E38" s="221" t="b">
        <v>0</v>
      </c>
      <c r="F38" s="220" t="s">
        <v>309</v>
      </c>
      <c r="G38" s="223" t="b">
        <v>0</v>
      </c>
      <c r="H38" s="220" t="s">
        <v>309</v>
      </c>
      <c r="I38" s="223" t="b">
        <v>0</v>
      </c>
      <c r="J38" s="220" t="s">
        <v>309</v>
      </c>
      <c r="K38" s="223" t="b">
        <v>0</v>
      </c>
      <c r="L38" s="220" t="s">
        <v>309</v>
      </c>
      <c r="M38" s="223" t="b">
        <v>0</v>
      </c>
      <c r="N38" s="220" t="s">
        <v>309</v>
      </c>
      <c r="O38" s="223" t="b">
        <v>0</v>
      </c>
      <c r="P38" s="224">
        <f t="shared" si="3"/>
        <v>0</v>
      </c>
      <c r="Q38" s="3"/>
    </row>
    <row r="39">
      <c r="A39" s="49"/>
      <c r="B39" s="226" t="s">
        <v>310</v>
      </c>
      <c r="C39" s="227"/>
      <c r="D39" s="226" t="s">
        <v>310</v>
      </c>
      <c r="E39" s="227"/>
      <c r="F39" s="226" t="s">
        <v>310</v>
      </c>
      <c r="G39" s="227"/>
      <c r="H39" s="226" t="s">
        <v>310</v>
      </c>
      <c r="I39" s="227"/>
      <c r="J39" s="226" t="s">
        <v>310</v>
      </c>
      <c r="K39" s="227"/>
      <c r="L39" s="226" t="s">
        <v>310</v>
      </c>
      <c r="M39" s="227"/>
      <c r="N39" s="226" t="s">
        <v>310</v>
      </c>
      <c r="O39" s="227"/>
      <c r="P39" s="228">
        <f>COUNTIF(B39:O39,"Yes")</f>
        <v>0</v>
      </c>
      <c r="Q39" s="229" t="s">
        <v>311</v>
      </c>
    </row>
    <row r="40">
      <c r="A40" s="3"/>
      <c r="B40" s="230" t="s">
        <v>312</v>
      </c>
      <c r="C40" s="231"/>
      <c r="D40" s="230" t="s">
        <v>312</v>
      </c>
      <c r="E40" s="231"/>
      <c r="F40" s="230" t="s">
        <v>312</v>
      </c>
      <c r="G40" s="231"/>
      <c r="H40" s="230" t="s">
        <v>312</v>
      </c>
      <c r="I40" s="231"/>
      <c r="J40" s="230" t="s">
        <v>312</v>
      </c>
      <c r="K40" s="231"/>
      <c r="L40" s="230" t="s">
        <v>312</v>
      </c>
      <c r="M40" s="231"/>
      <c r="N40" s="230" t="s">
        <v>312</v>
      </c>
      <c r="O40" s="231"/>
      <c r="P40" s="232">
        <f>SUM(C40,E40,G40,I40,K40,M40,O40)/7</f>
        <v>0</v>
      </c>
      <c r="Q40" s="230" t="s">
        <v>313</v>
      </c>
    </row>
    <row r="41" ht="10.5" customHeight="1">
      <c r="A41" s="233"/>
      <c r="B41" s="55"/>
      <c r="C41" s="55"/>
      <c r="D41" s="55"/>
      <c r="E41" s="55"/>
      <c r="F41" s="55"/>
      <c r="G41" s="55"/>
      <c r="H41" s="55"/>
      <c r="I41" s="55"/>
      <c r="J41" s="55"/>
      <c r="K41" s="55"/>
      <c r="L41" s="55"/>
      <c r="M41" s="55"/>
      <c r="N41" s="55"/>
      <c r="O41" s="55"/>
      <c r="P41" s="55"/>
      <c r="Q41" s="54"/>
    </row>
    <row r="42">
      <c r="A42" s="204" t="s">
        <v>342</v>
      </c>
      <c r="B42" s="241">
        <v>46104.0</v>
      </c>
      <c r="C42" s="24"/>
      <c r="D42" s="241">
        <v>46105.0</v>
      </c>
      <c r="E42" s="24"/>
      <c r="F42" s="241">
        <v>46106.0</v>
      </c>
      <c r="G42" s="24"/>
      <c r="H42" s="241">
        <v>46107.0</v>
      </c>
      <c r="I42" s="24"/>
      <c r="J42" s="241">
        <v>46108.0</v>
      </c>
      <c r="K42" s="24"/>
      <c r="L42" s="240">
        <v>46109.0</v>
      </c>
      <c r="M42" s="24"/>
      <c r="N42" s="240">
        <v>46110.0</v>
      </c>
      <c r="O42" s="24"/>
      <c r="P42" s="202" t="s">
        <v>287</v>
      </c>
      <c r="Q42" s="202" t="s">
        <v>288</v>
      </c>
    </row>
    <row r="43">
      <c r="A43" s="49"/>
      <c r="B43" s="210">
        <v>4.0</v>
      </c>
      <c r="C43" s="209" t="s">
        <v>295</v>
      </c>
      <c r="D43" s="210">
        <v>8.0</v>
      </c>
      <c r="E43" s="209" t="s">
        <v>295</v>
      </c>
      <c r="F43" s="210">
        <v>4.0</v>
      </c>
      <c r="G43" s="209" t="s">
        <v>295</v>
      </c>
      <c r="H43" s="210">
        <v>5.0</v>
      </c>
      <c r="I43" s="209" t="s">
        <v>295</v>
      </c>
      <c r="J43" s="210">
        <v>0.0</v>
      </c>
      <c r="K43" s="209" t="s">
        <v>295</v>
      </c>
      <c r="L43" s="210">
        <v>0.0</v>
      </c>
      <c r="M43" s="209" t="s">
        <v>295</v>
      </c>
      <c r="N43" s="210">
        <v>20.0</v>
      </c>
      <c r="O43" s="209" t="s">
        <v>295</v>
      </c>
      <c r="P43" s="54"/>
      <c r="Q43" s="54"/>
    </row>
    <row r="44">
      <c r="A44" s="49"/>
      <c r="B44" s="213" t="s">
        <v>343</v>
      </c>
      <c r="C44" s="212"/>
      <c r="D44" s="213" t="s">
        <v>347</v>
      </c>
      <c r="E44" s="212"/>
      <c r="F44" s="213" t="s">
        <v>343</v>
      </c>
      <c r="G44" s="212"/>
      <c r="H44" s="213" t="s">
        <v>345</v>
      </c>
      <c r="I44" s="212"/>
      <c r="J44" s="213" t="s">
        <v>300</v>
      </c>
      <c r="K44" s="212"/>
      <c r="L44" s="213" t="s">
        <v>300</v>
      </c>
      <c r="M44" s="212"/>
      <c r="N44" s="213" t="s">
        <v>348</v>
      </c>
      <c r="O44" s="212"/>
      <c r="P44" s="206">
        <f>SUM(B43,D43,F43,H43,J43,L43,N43)</f>
        <v>41</v>
      </c>
      <c r="Q44" s="234"/>
    </row>
    <row r="45">
      <c r="A45" s="49"/>
      <c r="B45" s="209" t="s">
        <v>302</v>
      </c>
      <c r="C45" s="209" t="s">
        <v>303</v>
      </c>
      <c r="D45" s="209" t="s">
        <v>302</v>
      </c>
      <c r="E45" s="209" t="s">
        <v>303</v>
      </c>
      <c r="F45" s="209" t="s">
        <v>302</v>
      </c>
      <c r="G45" s="209" t="s">
        <v>303</v>
      </c>
      <c r="H45" s="209" t="s">
        <v>302</v>
      </c>
      <c r="I45" s="209" t="s">
        <v>303</v>
      </c>
      <c r="J45" s="209" t="s">
        <v>302</v>
      </c>
      <c r="K45" s="209" t="s">
        <v>303</v>
      </c>
      <c r="L45" s="209" t="s">
        <v>302</v>
      </c>
      <c r="M45" s="209" t="s">
        <v>303</v>
      </c>
      <c r="N45" s="209" t="s">
        <v>302</v>
      </c>
      <c r="O45" s="209" t="s">
        <v>303</v>
      </c>
      <c r="P45" s="49"/>
      <c r="Q45" s="49"/>
    </row>
    <row r="46">
      <c r="A46" s="49"/>
      <c r="B46" s="214"/>
      <c r="C46" s="214"/>
      <c r="D46" s="214"/>
      <c r="E46" s="214"/>
      <c r="F46" s="214"/>
      <c r="G46" s="214"/>
      <c r="H46" s="214"/>
      <c r="I46" s="214"/>
      <c r="J46" s="214"/>
      <c r="K46" s="214"/>
      <c r="L46" s="214"/>
      <c r="M46" s="215"/>
      <c r="N46" s="214"/>
      <c r="O46" s="214"/>
      <c r="P46" s="3"/>
      <c r="Q46" s="3"/>
    </row>
    <row r="47">
      <c r="A47" s="216" t="s">
        <v>332</v>
      </c>
      <c r="B47" s="217" t="s">
        <v>305</v>
      </c>
      <c r="C47" s="24"/>
      <c r="D47" s="217" t="s">
        <v>305</v>
      </c>
      <c r="E47" s="24"/>
      <c r="F47" s="217" t="s">
        <v>305</v>
      </c>
      <c r="G47" s="24"/>
      <c r="H47" s="217" t="s">
        <v>305</v>
      </c>
      <c r="I47" s="24"/>
      <c r="J47" s="217" t="s">
        <v>305</v>
      </c>
      <c r="K47" s="24"/>
      <c r="L47" s="217" t="s">
        <v>305</v>
      </c>
      <c r="M47" s="24"/>
      <c r="N47" s="217" t="s">
        <v>305</v>
      </c>
      <c r="O47" s="24"/>
      <c r="P47" s="218" t="s">
        <v>306</v>
      </c>
      <c r="Q47" s="24"/>
    </row>
    <row r="48">
      <c r="A48" s="49"/>
      <c r="B48" s="219"/>
      <c r="C48" s="24"/>
      <c r="D48" s="219"/>
      <c r="E48" s="24"/>
      <c r="F48" s="219"/>
      <c r="G48" s="24"/>
      <c r="H48" s="219"/>
      <c r="I48" s="24"/>
      <c r="J48" s="219"/>
      <c r="K48" s="24"/>
      <c r="L48" s="219"/>
      <c r="M48" s="24"/>
      <c r="N48" s="219"/>
      <c r="O48" s="24"/>
      <c r="P48" s="219"/>
      <c r="Q48" s="24"/>
    </row>
    <row r="49">
      <c r="A49" s="49"/>
      <c r="B49" s="220" t="s">
        <v>307</v>
      </c>
      <c r="C49" s="221" t="b">
        <v>0</v>
      </c>
      <c r="D49" s="220" t="s">
        <v>307</v>
      </c>
      <c r="E49" s="223" t="b">
        <v>0</v>
      </c>
      <c r="F49" s="220" t="s">
        <v>307</v>
      </c>
      <c r="G49" s="223" t="b">
        <v>0</v>
      </c>
      <c r="H49" s="220" t="s">
        <v>307</v>
      </c>
      <c r="I49" s="223" t="b">
        <v>0</v>
      </c>
      <c r="J49" s="220" t="s">
        <v>307</v>
      </c>
      <c r="K49" s="223" t="b">
        <v>0</v>
      </c>
      <c r="L49" s="220" t="s">
        <v>307</v>
      </c>
      <c r="M49" s="223" t="b">
        <v>0</v>
      </c>
      <c r="N49" s="220" t="s">
        <v>307</v>
      </c>
      <c r="O49" s="223" t="b">
        <v>0</v>
      </c>
      <c r="P49" s="224">
        <f t="shared" ref="P49:P50" si="4">COUNTIF(B49:O49,True)/COUNTA(B49:O49)%/50</f>
        <v>0</v>
      </c>
      <c r="Q49" s="225" t="s">
        <v>308</v>
      </c>
    </row>
    <row r="50">
      <c r="A50" s="49"/>
      <c r="B50" s="220" t="s">
        <v>309</v>
      </c>
      <c r="C50" s="221" t="b">
        <v>0</v>
      </c>
      <c r="D50" s="220" t="s">
        <v>309</v>
      </c>
      <c r="E50" s="221" t="b">
        <v>0</v>
      </c>
      <c r="F50" s="220" t="s">
        <v>309</v>
      </c>
      <c r="G50" s="223" t="b">
        <v>0</v>
      </c>
      <c r="H50" s="220" t="s">
        <v>309</v>
      </c>
      <c r="I50" s="223" t="b">
        <v>0</v>
      </c>
      <c r="J50" s="220" t="s">
        <v>309</v>
      </c>
      <c r="K50" s="223" t="b">
        <v>0</v>
      </c>
      <c r="L50" s="220" t="s">
        <v>309</v>
      </c>
      <c r="M50" s="223" t="b">
        <v>0</v>
      </c>
      <c r="N50" s="220" t="s">
        <v>309</v>
      </c>
      <c r="O50" s="223" t="b">
        <v>0</v>
      </c>
      <c r="P50" s="224">
        <f t="shared" si="4"/>
        <v>0</v>
      </c>
      <c r="Q50" s="3"/>
    </row>
    <row r="51">
      <c r="A51" s="49"/>
      <c r="B51" s="226" t="s">
        <v>310</v>
      </c>
      <c r="C51" s="227"/>
      <c r="D51" s="226" t="s">
        <v>310</v>
      </c>
      <c r="E51" s="227"/>
      <c r="F51" s="226" t="s">
        <v>310</v>
      </c>
      <c r="G51" s="227"/>
      <c r="H51" s="226" t="s">
        <v>310</v>
      </c>
      <c r="I51" s="227"/>
      <c r="J51" s="226" t="s">
        <v>310</v>
      </c>
      <c r="K51" s="227"/>
      <c r="L51" s="226" t="s">
        <v>310</v>
      </c>
      <c r="M51" s="227"/>
      <c r="N51" s="226" t="s">
        <v>310</v>
      </c>
      <c r="O51" s="227"/>
      <c r="P51" s="228">
        <f>COUNTIF(B51:O51,"Yes")</f>
        <v>0</v>
      </c>
      <c r="Q51" s="229" t="s">
        <v>311</v>
      </c>
    </row>
    <row r="52">
      <c r="A52" s="3"/>
      <c r="B52" s="230" t="s">
        <v>312</v>
      </c>
      <c r="C52" s="231"/>
      <c r="D52" s="230" t="s">
        <v>312</v>
      </c>
      <c r="E52" s="231"/>
      <c r="F52" s="230" t="s">
        <v>312</v>
      </c>
      <c r="G52" s="231"/>
      <c r="H52" s="230" t="s">
        <v>312</v>
      </c>
      <c r="I52" s="231"/>
      <c r="J52" s="230" t="s">
        <v>312</v>
      </c>
      <c r="K52" s="231"/>
      <c r="L52" s="230" t="s">
        <v>312</v>
      </c>
      <c r="M52" s="231"/>
      <c r="N52" s="230" t="s">
        <v>312</v>
      </c>
      <c r="O52" s="231"/>
      <c r="P52" s="232">
        <f>SUM(C52,E52,G52,I52,K52,M52,O52)/7</f>
        <v>0</v>
      </c>
      <c r="Q52" s="230" t="s">
        <v>313</v>
      </c>
    </row>
  </sheetData>
  <mergeCells count="145">
    <mergeCell ref="B18:C18"/>
    <mergeCell ref="B23:C23"/>
    <mergeCell ref="A47:A52"/>
    <mergeCell ref="B47:C47"/>
    <mergeCell ref="D47:E47"/>
    <mergeCell ref="B48:C48"/>
    <mergeCell ref="D48:E48"/>
    <mergeCell ref="A23:A28"/>
    <mergeCell ref="B24:C24"/>
    <mergeCell ref="A30:A34"/>
    <mergeCell ref="B30:C30"/>
    <mergeCell ref="A35:A40"/>
    <mergeCell ref="B35:C35"/>
    <mergeCell ref="D35:E35"/>
    <mergeCell ref="N18:O18"/>
    <mergeCell ref="P18:P19"/>
    <mergeCell ref="Q18:Q19"/>
    <mergeCell ref="P20:P22"/>
    <mergeCell ref="Q20:Q22"/>
    <mergeCell ref="H23:I23"/>
    <mergeCell ref="J23:K23"/>
    <mergeCell ref="N23:O23"/>
    <mergeCell ref="P23:Q23"/>
    <mergeCell ref="A18:A22"/>
    <mergeCell ref="D18:E18"/>
    <mergeCell ref="F18:G18"/>
    <mergeCell ref="H18:I18"/>
    <mergeCell ref="J18:K18"/>
    <mergeCell ref="L18:M18"/>
    <mergeCell ref="L23:M23"/>
    <mergeCell ref="D23:E23"/>
    <mergeCell ref="F23:G23"/>
    <mergeCell ref="D24:E24"/>
    <mergeCell ref="F24:G24"/>
    <mergeCell ref="H24:I24"/>
    <mergeCell ref="J24:K24"/>
    <mergeCell ref="L24:M24"/>
    <mergeCell ref="N30:O30"/>
    <mergeCell ref="A41:Q41"/>
    <mergeCell ref="N24:O24"/>
    <mergeCell ref="P24:Q24"/>
    <mergeCell ref="Q25:Q26"/>
    <mergeCell ref="A29:Q29"/>
    <mergeCell ref="D30:E30"/>
    <mergeCell ref="F30:G30"/>
    <mergeCell ref="H30:I30"/>
    <mergeCell ref="H48:I48"/>
    <mergeCell ref="J48:K48"/>
    <mergeCell ref="P48:Q48"/>
    <mergeCell ref="Q49:Q50"/>
    <mergeCell ref="F4:G4"/>
    <mergeCell ref="H4:I4"/>
    <mergeCell ref="D5:E5"/>
    <mergeCell ref="F5:G5"/>
    <mergeCell ref="D6:E6"/>
    <mergeCell ref="F6:G6"/>
    <mergeCell ref="D11:E11"/>
    <mergeCell ref="F11:G11"/>
    <mergeCell ref="H11:I11"/>
    <mergeCell ref="N12:O12"/>
    <mergeCell ref="P12:Q12"/>
    <mergeCell ref="J11:K11"/>
    <mergeCell ref="L11:M11"/>
    <mergeCell ref="N11:O11"/>
    <mergeCell ref="P11:Q11"/>
    <mergeCell ref="D12:E12"/>
    <mergeCell ref="F12:G12"/>
    <mergeCell ref="H12:I12"/>
    <mergeCell ref="D2:E3"/>
    <mergeCell ref="B4:C4"/>
    <mergeCell ref="D4:E4"/>
    <mergeCell ref="J4:K4"/>
    <mergeCell ref="L4:M4"/>
    <mergeCell ref="N4:O4"/>
    <mergeCell ref="P4:P5"/>
    <mergeCell ref="N5:O5"/>
    <mergeCell ref="N6:O6"/>
    <mergeCell ref="P6:P10"/>
    <mergeCell ref="Q6:Q10"/>
    <mergeCell ref="Q13:Q14"/>
    <mergeCell ref="H5:I5"/>
    <mergeCell ref="J5:K5"/>
    <mergeCell ref="H6:I6"/>
    <mergeCell ref="J6:K6"/>
    <mergeCell ref="L6:M6"/>
    <mergeCell ref="B1:G1"/>
    <mergeCell ref="H1:I3"/>
    <mergeCell ref="J1:O3"/>
    <mergeCell ref="P1:Q3"/>
    <mergeCell ref="F2:G2"/>
    <mergeCell ref="F3:G3"/>
    <mergeCell ref="Q4:Q5"/>
    <mergeCell ref="L5:M5"/>
    <mergeCell ref="J12:K12"/>
    <mergeCell ref="L12:M12"/>
    <mergeCell ref="A17:Q17"/>
    <mergeCell ref="A1:A5"/>
    <mergeCell ref="B5:C5"/>
    <mergeCell ref="A6:A10"/>
    <mergeCell ref="B6:C6"/>
    <mergeCell ref="A11:A16"/>
    <mergeCell ref="B11:C11"/>
    <mergeCell ref="B12:C12"/>
    <mergeCell ref="H35:I35"/>
    <mergeCell ref="J35:K35"/>
    <mergeCell ref="L35:M35"/>
    <mergeCell ref="N35:O35"/>
    <mergeCell ref="J30:K30"/>
    <mergeCell ref="L30:M30"/>
    <mergeCell ref="P30:P31"/>
    <mergeCell ref="Q30:Q31"/>
    <mergeCell ref="P32:P34"/>
    <mergeCell ref="Q32:Q34"/>
    <mergeCell ref="F35:G35"/>
    <mergeCell ref="P35:Q35"/>
    <mergeCell ref="P36:Q36"/>
    <mergeCell ref="Q37:Q38"/>
    <mergeCell ref="B36:C36"/>
    <mergeCell ref="D36:E36"/>
    <mergeCell ref="F36:G36"/>
    <mergeCell ref="H36:I36"/>
    <mergeCell ref="J36:K36"/>
    <mergeCell ref="L36:M36"/>
    <mergeCell ref="N36:O36"/>
    <mergeCell ref="N42:O42"/>
    <mergeCell ref="P42:P43"/>
    <mergeCell ref="Q42:Q43"/>
    <mergeCell ref="P44:P46"/>
    <mergeCell ref="Q44:Q46"/>
    <mergeCell ref="A42:A46"/>
    <mergeCell ref="B42:C42"/>
    <mergeCell ref="D42:E42"/>
    <mergeCell ref="F42:G42"/>
    <mergeCell ref="H42:I42"/>
    <mergeCell ref="J42:K42"/>
    <mergeCell ref="L42:M42"/>
    <mergeCell ref="L48:M48"/>
    <mergeCell ref="N48:O48"/>
    <mergeCell ref="F47:G47"/>
    <mergeCell ref="H47:I47"/>
    <mergeCell ref="J47:K47"/>
    <mergeCell ref="L47:M47"/>
    <mergeCell ref="N47:O47"/>
    <mergeCell ref="P47:Q47"/>
    <mergeCell ref="F48:G48"/>
  </mergeCells>
  <dataValidations>
    <dataValidation type="list" allowBlank="1" showErrorMessage="1" sqref="A11 A23 A35 A47">
      <formula1>"Don't Push/ Strict Paces,Focus on Recovery Don't Push,Focus HEAVILY on Rolling/ Stretching/ Recovery,Fuel Every Quality Session/ TRACK and see what works/ doesn't,Prep/Fuel Like Race Week,If you feel good; close last 10-20% of hard/ long workouts faster,S"&amp;"tay on Top of the Little Things / Be Ready to Push,Focus More on Strength,Last EASY (50%) Strength: Sat or Sun,Schedule Race Prep Call,Communicate Daily w/ Coach"</formula1>
    </dataValidation>
    <dataValidation type="list" allowBlank="1" showErrorMessage="1" sqref="C16 E16 G16 I16 K16 M16 O16 C28 E28 G28 I28 K28 M28 O28 C40 E40 G40 I40 K40 M40 O40 C52 E52 G52 I52 K52 M52 O52">
      <formula1>"1,2,3,4,5,6,7,8,9,10"</formula1>
    </dataValidation>
    <dataValidation type="list" allowBlank="1" showErrorMessage="1" sqref="A6 A18 A30 A42">
      <formula1>"REST WEEK,BUILD WEEK,PUSH WEEK,PEAK WEEK,RACE WEEK,INJURED,ILLNESS,RETURN WEEK,CROSS TRAINING,TRAVEL/ LIMITED WEEK"</formula1>
    </dataValidation>
    <dataValidation type="list" allowBlank="1" showErrorMessage="1" sqref="C15 E15 G15 I15 K15 M15 O15 C27 E27 G27 I27 K27 M27 O27 C39 E39 G39 I39 K39 M39 O39 C51 E51 G51 I51 K51 M51 O51">
      <formula1>"Yes,No"</formula1>
    </dataValidation>
  </dataValidations>
  <hyperlinks>
    <hyperlink r:id="rId1" ref="D2"/>
    <hyperlink r:id="rId2" ref="F2"/>
    <hyperlink r:id="rId3" ref="F3"/>
  </hyperlinks>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2" max="2" width="18.25"/>
    <col customWidth="1" min="3" max="3" width="14.5"/>
    <col customWidth="1" min="4" max="4" width="21.88"/>
    <col customWidth="1" min="5" max="5" width="14.13"/>
    <col customWidth="1" min="6" max="6" width="18.13"/>
    <col customWidth="1" min="7" max="7" width="14.5"/>
    <col customWidth="1" min="8" max="8" width="22.75"/>
    <col customWidth="1" min="10" max="10" width="23.75"/>
    <col customWidth="1" min="12" max="12" width="19.13"/>
    <col customWidth="1" min="14" max="14" width="18.5"/>
    <col customWidth="1" min="17" max="17" width="14.38"/>
  </cols>
  <sheetData>
    <row r="1">
      <c r="A1" s="238" t="str">
        <f>'March '!A1</f>
        <v>STRAVA</v>
      </c>
      <c r="B1" s="190" t="s">
        <v>349</v>
      </c>
      <c r="C1" s="23"/>
      <c r="D1" s="23"/>
      <c r="E1" s="23"/>
      <c r="F1" s="23"/>
      <c r="G1" s="23"/>
      <c r="H1" s="191" t="s">
        <v>272</v>
      </c>
      <c r="I1" s="48"/>
      <c r="J1" s="192" t="s">
        <v>350</v>
      </c>
      <c r="K1" s="48"/>
      <c r="L1" s="48"/>
      <c r="M1" s="48"/>
      <c r="N1" s="48"/>
      <c r="O1" s="48"/>
      <c r="P1" s="193"/>
      <c r="Q1" s="42"/>
    </row>
    <row r="2">
      <c r="A2" s="49"/>
      <c r="B2" s="194" t="s">
        <v>274</v>
      </c>
      <c r="C2" s="237" t="str">
        <f>'March '!C2</f>
        <v>1.5 mile</v>
      </c>
      <c r="D2" s="196" t="s">
        <v>276</v>
      </c>
      <c r="E2" s="48"/>
      <c r="F2" s="197" t="s">
        <v>277</v>
      </c>
      <c r="G2" s="24"/>
      <c r="H2" s="50"/>
      <c r="P2" s="50"/>
      <c r="Q2" s="51"/>
    </row>
    <row r="3">
      <c r="A3" s="49"/>
      <c r="B3" s="198" t="s">
        <v>278</v>
      </c>
      <c r="C3" s="237" t="str">
        <f>'March '!C3</f>
        <v>1.5 mile</v>
      </c>
      <c r="D3" s="50"/>
      <c r="F3" s="199" t="s">
        <v>279</v>
      </c>
      <c r="G3" s="24"/>
      <c r="H3" s="50"/>
      <c r="P3" s="53"/>
      <c r="Q3" s="54"/>
    </row>
    <row r="4">
      <c r="A4" s="49"/>
      <c r="B4" s="200" t="s">
        <v>280</v>
      </c>
      <c r="C4" s="24"/>
      <c r="D4" s="201" t="s">
        <v>281</v>
      </c>
      <c r="E4" s="24"/>
      <c r="F4" s="201" t="s">
        <v>282</v>
      </c>
      <c r="G4" s="24"/>
      <c r="H4" s="201" t="s">
        <v>283</v>
      </c>
      <c r="I4" s="24"/>
      <c r="J4" s="201" t="s">
        <v>284</v>
      </c>
      <c r="K4" s="24"/>
      <c r="L4" s="201" t="s">
        <v>285</v>
      </c>
      <c r="M4" s="24"/>
      <c r="N4" s="201" t="s">
        <v>286</v>
      </c>
      <c r="O4" s="24"/>
      <c r="P4" s="202" t="s">
        <v>287</v>
      </c>
      <c r="Q4" s="202" t="s">
        <v>288</v>
      </c>
    </row>
    <row r="5">
      <c r="A5" s="3"/>
      <c r="B5" s="203" t="str">
        <f>'March '!B5</f>
        <v>EASY RUN</v>
      </c>
      <c r="C5" s="24"/>
      <c r="D5" s="203" t="str">
        <f>'March '!D5</f>
        <v>HARD WORKOUT
&amp; STRENGTH</v>
      </c>
      <c r="E5" s="24"/>
      <c r="F5" s="203" t="str">
        <f>'March '!F5</f>
        <v>EASY RUN</v>
      </c>
      <c r="G5" s="24"/>
      <c r="H5" s="203" t="str">
        <f>'March '!H5</f>
        <v>HARD WORKOUT
&amp; STRENGTH</v>
      </c>
      <c r="I5" s="24"/>
      <c r="J5" s="203" t="str">
        <f>'March '!J5</f>
        <v>REST</v>
      </c>
      <c r="K5" s="24"/>
      <c r="L5" s="203" t="str">
        <f>'March '!L5</f>
        <v>LONG RUN</v>
      </c>
      <c r="M5" s="24"/>
      <c r="N5" s="239" t="str">
        <f>'March '!N5</f>
        <v>REST OR EASY RUN</v>
      </c>
      <c r="O5" s="24"/>
      <c r="P5" s="54"/>
      <c r="Q5" s="54"/>
    </row>
    <row r="6">
      <c r="A6" s="204" t="s">
        <v>351</v>
      </c>
      <c r="B6" s="240">
        <v>46111.0</v>
      </c>
      <c r="C6" s="24"/>
      <c r="D6" s="240">
        <v>46112.0</v>
      </c>
      <c r="E6" s="24"/>
      <c r="F6" s="240">
        <v>46113.0</v>
      </c>
      <c r="G6" s="24"/>
      <c r="H6" s="240">
        <v>46114.0</v>
      </c>
      <c r="I6" s="24"/>
      <c r="J6" s="240">
        <v>46115.0</v>
      </c>
      <c r="K6" s="24"/>
      <c r="L6" s="240">
        <v>46116.0</v>
      </c>
      <c r="M6" s="24"/>
      <c r="N6" s="240">
        <v>46117.0</v>
      </c>
      <c r="O6" s="24"/>
      <c r="P6" s="206">
        <f>SUM(B7,D7,F7,H7,J7,L7,N7)</f>
        <v>49</v>
      </c>
      <c r="Q6" s="207"/>
    </row>
    <row r="7">
      <c r="A7" s="49"/>
      <c r="B7" s="208">
        <v>5.0</v>
      </c>
      <c r="C7" s="209" t="s">
        <v>295</v>
      </c>
      <c r="D7" s="210">
        <v>10.0</v>
      </c>
      <c r="E7" s="209" t="s">
        <v>295</v>
      </c>
      <c r="F7" s="208">
        <v>5.0</v>
      </c>
      <c r="G7" s="209" t="s">
        <v>295</v>
      </c>
      <c r="H7" s="210">
        <v>3.0</v>
      </c>
      <c r="I7" s="209" t="s">
        <v>295</v>
      </c>
      <c r="J7" s="210">
        <v>21.0</v>
      </c>
      <c r="K7" s="209" t="s">
        <v>295</v>
      </c>
      <c r="L7" s="210">
        <v>0.0</v>
      </c>
      <c r="M7" s="209" t="s">
        <v>295</v>
      </c>
      <c r="N7" s="208">
        <v>5.0</v>
      </c>
      <c r="O7" s="209" t="s">
        <v>295</v>
      </c>
      <c r="P7" s="49"/>
      <c r="Q7" s="49"/>
    </row>
    <row r="8">
      <c r="A8" s="49"/>
      <c r="B8" s="235" t="s">
        <v>352</v>
      </c>
      <c r="C8" s="212"/>
      <c r="D8" s="213" t="s">
        <v>353</v>
      </c>
      <c r="E8" s="212"/>
      <c r="F8" s="235" t="s">
        <v>352</v>
      </c>
      <c r="G8" s="212"/>
      <c r="H8" s="213" t="s">
        <v>354</v>
      </c>
      <c r="I8" s="212"/>
      <c r="J8" s="213" t="s">
        <v>355</v>
      </c>
      <c r="K8" s="212"/>
      <c r="L8" s="213" t="s">
        <v>300</v>
      </c>
      <c r="M8" s="212"/>
      <c r="N8" s="211" t="s">
        <v>296</v>
      </c>
      <c r="O8" s="212"/>
      <c r="P8" s="49"/>
      <c r="Q8" s="49"/>
    </row>
    <row r="9">
      <c r="A9" s="49"/>
      <c r="B9" s="209" t="s">
        <v>302</v>
      </c>
      <c r="C9" s="209" t="s">
        <v>303</v>
      </c>
      <c r="D9" s="209" t="s">
        <v>302</v>
      </c>
      <c r="E9" s="209" t="s">
        <v>303</v>
      </c>
      <c r="F9" s="209" t="s">
        <v>302</v>
      </c>
      <c r="G9" s="209" t="s">
        <v>303</v>
      </c>
      <c r="H9" s="209" t="s">
        <v>302</v>
      </c>
      <c r="I9" s="209" t="s">
        <v>303</v>
      </c>
      <c r="J9" s="209" t="s">
        <v>302</v>
      </c>
      <c r="K9" s="209" t="s">
        <v>303</v>
      </c>
      <c r="L9" s="209" t="s">
        <v>302</v>
      </c>
      <c r="M9" s="209" t="s">
        <v>303</v>
      </c>
      <c r="N9" s="209" t="s">
        <v>302</v>
      </c>
      <c r="O9" s="209" t="s">
        <v>303</v>
      </c>
      <c r="P9" s="49"/>
      <c r="Q9" s="49"/>
    </row>
    <row r="10">
      <c r="A10" s="49"/>
      <c r="B10" s="214"/>
      <c r="C10" s="214"/>
      <c r="D10" s="214"/>
      <c r="E10" s="214"/>
      <c r="F10" s="214"/>
      <c r="G10" s="214"/>
      <c r="H10" s="214"/>
      <c r="I10" s="214"/>
      <c r="J10" s="214"/>
      <c r="K10" s="214"/>
      <c r="L10" s="214"/>
      <c r="M10" s="215"/>
      <c r="N10" s="214"/>
      <c r="O10" s="214"/>
      <c r="P10" s="3"/>
      <c r="Q10" s="3"/>
    </row>
    <row r="11">
      <c r="A11" s="216" t="s">
        <v>335</v>
      </c>
      <c r="B11" s="217" t="s">
        <v>305</v>
      </c>
      <c r="C11" s="24"/>
      <c r="D11" s="217" t="s">
        <v>305</v>
      </c>
      <c r="E11" s="24"/>
      <c r="F11" s="217" t="s">
        <v>305</v>
      </c>
      <c r="G11" s="24"/>
      <c r="H11" s="217" t="s">
        <v>305</v>
      </c>
      <c r="I11" s="24"/>
      <c r="J11" s="217" t="s">
        <v>305</v>
      </c>
      <c r="K11" s="24"/>
      <c r="L11" s="217" t="s">
        <v>305</v>
      </c>
      <c r="M11" s="24"/>
      <c r="N11" s="217" t="s">
        <v>305</v>
      </c>
      <c r="O11" s="24"/>
      <c r="P11" s="218" t="s">
        <v>306</v>
      </c>
      <c r="Q11" s="24"/>
    </row>
    <row r="12">
      <c r="A12" s="49"/>
      <c r="B12" s="219"/>
      <c r="C12" s="24"/>
      <c r="D12" s="219"/>
      <c r="E12" s="24"/>
      <c r="F12" s="219"/>
      <c r="G12" s="24"/>
      <c r="H12" s="219"/>
      <c r="I12" s="24"/>
      <c r="J12" s="219"/>
      <c r="K12" s="24"/>
      <c r="L12" s="219"/>
      <c r="M12" s="24"/>
      <c r="N12" s="219"/>
      <c r="O12" s="24"/>
      <c r="P12" s="219"/>
      <c r="Q12" s="24"/>
    </row>
    <row r="13">
      <c r="A13" s="49"/>
      <c r="B13" s="220" t="s">
        <v>307</v>
      </c>
      <c r="C13" s="221" t="b">
        <v>0</v>
      </c>
      <c r="D13" s="220" t="s">
        <v>307</v>
      </c>
      <c r="E13" s="223" t="b">
        <v>0</v>
      </c>
      <c r="F13" s="220" t="s">
        <v>307</v>
      </c>
      <c r="G13" s="223" t="b">
        <v>0</v>
      </c>
      <c r="H13" s="220" t="s">
        <v>307</v>
      </c>
      <c r="I13" s="223" t="b">
        <v>0</v>
      </c>
      <c r="J13" s="220" t="s">
        <v>307</v>
      </c>
      <c r="K13" s="223" t="b">
        <v>0</v>
      </c>
      <c r="L13" s="220" t="s">
        <v>307</v>
      </c>
      <c r="M13" s="223" t="b">
        <v>0</v>
      </c>
      <c r="N13" s="220" t="s">
        <v>307</v>
      </c>
      <c r="O13" s="223" t="b">
        <v>0</v>
      </c>
      <c r="P13" s="224">
        <f t="shared" ref="P13:P14" si="1">COUNTIF(B13:O13,True)/COUNTA(B13:O13)%/50</f>
        <v>0</v>
      </c>
      <c r="Q13" s="225" t="s">
        <v>308</v>
      </c>
    </row>
    <row r="14">
      <c r="A14" s="49"/>
      <c r="B14" s="220" t="s">
        <v>309</v>
      </c>
      <c r="C14" s="221" t="b">
        <v>0</v>
      </c>
      <c r="D14" s="220" t="s">
        <v>309</v>
      </c>
      <c r="E14" s="221" t="b">
        <v>0</v>
      </c>
      <c r="F14" s="220" t="s">
        <v>309</v>
      </c>
      <c r="G14" s="223" t="b">
        <v>0</v>
      </c>
      <c r="H14" s="220" t="s">
        <v>309</v>
      </c>
      <c r="I14" s="223" t="b">
        <v>0</v>
      </c>
      <c r="J14" s="220" t="s">
        <v>309</v>
      </c>
      <c r="K14" s="223" t="b">
        <v>0</v>
      </c>
      <c r="L14" s="220" t="s">
        <v>309</v>
      </c>
      <c r="M14" s="223" t="b">
        <v>0</v>
      </c>
      <c r="N14" s="220" t="s">
        <v>309</v>
      </c>
      <c r="O14" s="223" t="b">
        <v>0</v>
      </c>
      <c r="P14" s="224">
        <f t="shared" si="1"/>
        <v>0</v>
      </c>
      <c r="Q14" s="3"/>
    </row>
    <row r="15">
      <c r="A15" s="49"/>
      <c r="B15" s="226" t="s">
        <v>310</v>
      </c>
      <c r="C15" s="227"/>
      <c r="D15" s="226" t="s">
        <v>310</v>
      </c>
      <c r="E15" s="227"/>
      <c r="F15" s="226" t="s">
        <v>310</v>
      </c>
      <c r="G15" s="227"/>
      <c r="H15" s="226" t="s">
        <v>310</v>
      </c>
      <c r="I15" s="227"/>
      <c r="J15" s="226" t="s">
        <v>310</v>
      </c>
      <c r="K15" s="227"/>
      <c r="L15" s="226" t="s">
        <v>310</v>
      </c>
      <c r="M15" s="227"/>
      <c r="N15" s="226" t="s">
        <v>310</v>
      </c>
      <c r="O15" s="227"/>
      <c r="P15" s="228">
        <f>COUNTIF(B15:O15,"Yes")</f>
        <v>0</v>
      </c>
      <c r="Q15" s="229" t="s">
        <v>311</v>
      </c>
    </row>
    <row r="16">
      <c r="A16" s="3"/>
      <c r="B16" s="230" t="s">
        <v>312</v>
      </c>
      <c r="C16" s="231"/>
      <c r="D16" s="230" t="s">
        <v>312</v>
      </c>
      <c r="E16" s="231"/>
      <c r="F16" s="230" t="s">
        <v>312</v>
      </c>
      <c r="G16" s="231"/>
      <c r="H16" s="230" t="s">
        <v>312</v>
      </c>
      <c r="I16" s="231"/>
      <c r="J16" s="230" t="s">
        <v>312</v>
      </c>
      <c r="K16" s="231"/>
      <c r="L16" s="230" t="s">
        <v>312</v>
      </c>
      <c r="M16" s="231"/>
      <c r="N16" s="230" t="s">
        <v>312</v>
      </c>
      <c r="O16" s="231"/>
      <c r="P16" s="232">
        <f>SUM(C16,E16,G16,I16,K16,M16,O16)/7</f>
        <v>0</v>
      </c>
      <c r="Q16" s="230" t="s">
        <v>313</v>
      </c>
    </row>
    <row r="17" ht="10.5" customHeight="1">
      <c r="A17" s="233"/>
      <c r="B17" s="55"/>
      <c r="C17" s="55"/>
      <c r="D17" s="55"/>
      <c r="E17" s="55"/>
      <c r="F17" s="55"/>
      <c r="G17" s="55"/>
      <c r="H17" s="55"/>
      <c r="I17" s="55"/>
      <c r="J17" s="55"/>
      <c r="K17" s="55"/>
      <c r="L17" s="55"/>
      <c r="M17" s="55"/>
      <c r="N17" s="55"/>
      <c r="O17" s="55"/>
      <c r="P17" s="55"/>
      <c r="Q17" s="54"/>
    </row>
    <row r="18">
      <c r="A18" s="204" t="s">
        <v>316</v>
      </c>
      <c r="B18" s="240">
        <v>46118.0</v>
      </c>
      <c r="C18" s="24"/>
      <c r="D18" s="240">
        <v>46119.0</v>
      </c>
      <c r="E18" s="24"/>
      <c r="F18" s="240">
        <v>46120.0</v>
      </c>
      <c r="G18" s="24"/>
      <c r="H18" s="240">
        <v>46121.0</v>
      </c>
      <c r="I18" s="24"/>
      <c r="J18" s="240">
        <v>46122.0</v>
      </c>
      <c r="K18" s="24"/>
      <c r="L18" s="240">
        <v>46123.0</v>
      </c>
      <c r="M18" s="24"/>
      <c r="N18" s="240">
        <v>46124.0</v>
      </c>
      <c r="O18" s="24"/>
      <c r="P18" s="202" t="s">
        <v>287</v>
      </c>
      <c r="Q18" s="202" t="s">
        <v>288</v>
      </c>
    </row>
    <row r="19">
      <c r="A19" s="49"/>
      <c r="B19" s="208">
        <v>4.0</v>
      </c>
      <c r="C19" s="209" t="s">
        <v>295</v>
      </c>
      <c r="D19" s="210">
        <v>11.0</v>
      </c>
      <c r="E19" s="209" t="s">
        <v>295</v>
      </c>
      <c r="F19" s="208">
        <v>4.0</v>
      </c>
      <c r="G19" s="209" t="s">
        <v>295</v>
      </c>
      <c r="H19" s="210">
        <v>6.0</v>
      </c>
      <c r="I19" s="209" t="s">
        <v>295</v>
      </c>
      <c r="J19" s="210">
        <v>0.0</v>
      </c>
      <c r="K19" s="209" t="s">
        <v>295</v>
      </c>
      <c r="L19" s="210">
        <v>12.0</v>
      </c>
      <c r="M19" s="209" t="s">
        <v>295</v>
      </c>
      <c r="N19" s="210">
        <v>0.0</v>
      </c>
      <c r="O19" s="209" t="s">
        <v>295</v>
      </c>
      <c r="P19" s="54"/>
      <c r="Q19" s="54"/>
    </row>
    <row r="20">
      <c r="A20" s="49"/>
      <c r="B20" s="235" t="s">
        <v>356</v>
      </c>
      <c r="C20" s="212"/>
      <c r="D20" s="213" t="s">
        <v>357</v>
      </c>
      <c r="E20" s="212"/>
      <c r="F20" s="235" t="s">
        <v>356</v>
      </c>
      <c r="G20" s="212"/>
      <c r="H20" s="213" t="s">
        <v>299</v>
      </c>
      <c r="I20" s="212"/>
      <c r="J20" s="213" t="s">
        <v>300</v>
      </c>
      <c r="K20" s="212"/>
      <c r="L20" s="213" t="s">
        <v>319</v>
      </c>
      <c r="M20" s="212"/>
      <c r="N20" s="213" t="s">
        <v>300</v>
      </c>
      <c r="O20" s="212"/>
      <c r="P20" s="206">
        <f>SUM(B19,D19,F19,H19,J19,L19,N19)</f>
        <v>37</v>
      </c>
      <c r="Q20" s="234"/>
    </row>
    <row r="21">
      <c r="A21" s="49"/>
      <c r="B21" s="209" t="s">
        <v>302</v>
      </c>
      <c r="C21" s="209" t="s">
        <v>303</v>
      </c>
      <c r="D21" s="209" t="s">
        <v>302</v>
      </c>
      <c r="E21" s="209" t="s">
        <v>303</v>
      </c>
      <c r="F21" s="209" t="s">
        <v>302</v>
      </c>
      <c r="G21" s="209" t="s">
        <v>303</v>
      </c>
      <c r="H21" s="209" t="s">
        <v>302</v>
      </c>
      <c r="I21" s="209" t="s">
        <v>303</v>
      </c>
      <c r="J21" s="209" t="s">
        <v>302</v>
      </c>
      <c r="K21" s="209" t="s">
        <v>303</v>
      </c>
      <c r="L21" s="209" t="s">
        <v>302</v>
      </c>
      <c r="M21" s="209" t="s">
        <v>303</v>
      </c>
      <c r="N21" s="209" t="s">
        <v>302</v>
      </c>
      <c r="O21" s="209" t="s">
        <v>303</v>
      </c>
      <c r="P21" s="49"/>
      <c r="Q21" s="49"/>
    </row>
    <row r="22">
      <c r="A22" s="49"/>
      <c r="B22" s="214"/>
      <c r="C22" s="214"/>
      <c r="D22" s="214"/>
      <c r="E22" s="214"/>
      <c r="F22" s="214"/>
      <c r="G22" s="214"/>
      <c r="H22" s="214"/>
      <c r="I22" s="214"/>
      <c r="J22" s="214"/>
      <c r="K22" s="214"/>
      <c r="L22" s="214"/>
      <c r="M22" s="215"/>
      <c r="N22" s="214"/>
      <c r="O22" s="214"/>
      <c r="P22" s="3"/>
      <c r="Q22" s="3"/>
    </row>
    <row r="23">
      <c r="A23" s="216" t="s">
        <v>332</v>
      </c>
      <c r="B23" s="217" t="s">
        <v>305</v>
      </c>
      <c r="C23" s="24"/>
      <c r="D23" s="217" t="s">
        <v>305</v>
      </c>
      <c r="E23" s="24"/>
      <c r="F23" s="217" t="s">
        <v>305</v>
      </c>
      <c r="G23" s="24"/>
      <c r="H23" s="217" t="s">
        <v>305</v>
      </c>
      <c r="I23" s="24"/>
      <c r="J23" s="217" t="s">
        <v>305</v>
      </c>
      <c r="K23" s="24"/>
      <c r="L23" s="217" t="s">
        <v>305</v>
      </c>
      <c r="M23" s="24"/>
      <c r="N23" s="217" t="s">
        <v>305</v>
      </c>
      <c r="O23" s="24"/>
      <c r="P23" s="218" t="s">
        <v>306</v>
      </c>
      <c r="Q23" s="24"/>
    </row>
    <row r="24">
      <c r="A24" s="49"/>
      <c r="B24" s="219"/>
      <c r="C24" s="24"/>
      <c r="D24" s="219"/>
      <c r="E24" s="24"/>
      <c r="F24" s="219"/>
      <c r="G24" s="24"/>
      <c r="H24" s="219"/>
      <c r="I24" s="24"/>
      <c r="J24" s="219"/>
      <c r="K24" s="24"/>
      <c r="L24" s="219"/>
      <c r="M24" s="24"/>
      <c r="N24" s="219"/>
      <c r="O24" s="24"/>
      <c r="P24" s="219"/>
      <c r="Q24" s="24"/>
    </row>
    <row r="25">
      <c r="A25" s="49"/>
      <c r="B25" s="220" t="s">
        <v>307</v>
      </c>
      <c r="C25" s="221" t="b">
        <v>0</v>
      </c>
      <c r="D25" s="220" t="s">
        <v>307</v>
      </c>
      <c r="E25" s="223" t="b">
        <v>0</v>
      </c>
      <c r="F25" s="220" t="s">
        <v>307</v>
      </c>
      <c r="G25" s="223" t="b">
        <v>0</v>
      </c>
      <c r="H25" s="220" t="s">
        <v>307</v>
      </c>
      <c r="I25" s="223" t="b">
        <v>0</v>
      </c>
      <c r="J25" s="220" t="s">
        <v>307</v>
      </c>
      <c r="K25" s="223" t="b">
        <v>0</v>
      </c>
      <c r="L25" s="220" t="s">
        <v>307</v>
      </c>
      <c r="M25" s="223" t="b">
        <v>0</v>
      </c>
      <c r="N25" s="220" t="s">
        <v>307</v>
      </c>
      <c r="O25" s="223" t="b">
        <v>0</v>
      </c>
      <c r="P25" s="224">
        <f t="shared" ref="P25:P26" si="2">COUNTIF(B25:O25,True)/COUNTA(B25:O25)%/50</f>
        <v>0</v>
      </c>
      <c r="Q25" s="225" t="s">
        <v>308</v>
      </c>
    </row>
    <row r="26">
      <c r="A26" s="49"/>
      <c r="B26" s="220" t="s">
        <v>309</v>
      </c>
      <c r="C26" s="221" t="b">
        <v>0</v>
      </c>
      <c r="D26" s="220" t="s">
        <v>309</v>
      </c>
      <c r="E26" s="221" t="b">
        <v>0</v>
      </c>
      <c r="F26" s="220" t="s">
        <v>309</v>
      </c>
      <c r="G26" s="223" t="b">
        <v>0</v>
      </c>
      <c r="H26" s="220" t="s">
        <v>309</v>
      </c>
      <c r="I26" s="223" t="b">
        <v>0</v>
      </c>
      <c r="J26" s="220" t="s">
        <v>309</v>
      </c>
      <c r="K26" s="223" t="b">
        <v>0</v>
      </c>
      <c r="L26" s="220" t="s">
        <v>309</v>
      </c>
      <c r="M26" s="223" t="b">
        <v>0</v>
      </c>
      <c r="N26" s="220" t="s">
        <v>309</v>
      </c>
      <c r="O26" s="223" t="b">
        <v>0</v>
      </c>
      <c r="P26" s="224">
        <f t="shared" si="2"/>
        <v>0</v>
      </c>
      <c r="Q26" s="3"/>
    </row>
    <row r="27">
      <c r="A27" s="49"/>
      <c r="B27" s="226" t="s">
        <v>310</v>
      </c>
      <c r="C27" s="227"/>
      <c r="D27" s="226" t="s">
        <v>310</v>
      </c>
      <c r="E27" s="227"/>
      <c r="F27" s="226" t="s">
        <v>310</v>
      </c>
      <c r="G27" s="227"/>
      <c r="H27" s="226" t="s">
        <v>310</v>
      </c>
      <c r="I27" s="227"/>
      <c r="J27" s="226" t="s">
        <v>310</v>
      </c>
      <c r="K27" s="227"/>
      <c r="L27" s="226" t="s">
        <v>310</v>
      </c>
      <c r="M27" s="227"/>
      <c r="N27" s="226" t="s">
        <v>310</v>
      </c>
      <c r="O27" s="227"/>
      <c r="P27" s="228">
        <f>COUNTIF(B27:O27,"Yes")</f>
        <v>0</v>
      </c>
      <c r="Q27" s="229" t="s">
        <v>311</v>
      </c>
    </row>
    <row r="28">
      <c r="A28" s="3"/>
      <c r="B28" s="230" t="s">
        <v>312</v>
      </c>
      <c r="C28" s="231"/>
      <c r="D28" s="230" t="s">
        <v>312</v>
      </c>
      <c r="E28" s="231"/>
      <c r="F28" s="230" t="s">
        <v>312</v>
      </c>
      <c r="G28" s="231"/>
      <c r="H28" s="230" t="s">
        <v>312</v>
      </c>
      <c r="I28" s="231"/>
      <c r="J28" s="230" t="s">
        <v>312</v>
      </c>
      <c r="K28" s="231"/>
      <c r="L28" s="230" t="s">
        <v>312</v>
      </c>
      <c r="M28" s="231"/>
      <c r="N28" s="230" t="s">
        <v>312</v>
      </c>
      <c r="O28" s="231"/>
      <c r="P28" s="232">
        <f>SUM(C28,E28,G28,I28,K28,M28,O28)/7</f>
        <v>0</v>
      </c>
      <c r="Q28" s="230" t="s">
        <v>313</v>
      </c>
    </row>
    <row r="29" ht="10.5" customHeight="1">
      <c r="A29" s="233"/>
      <c r="B29" s="55"/>
      <c r="C29" s="55"/>
      <c r="D29" s="55"/>
      <c r="E29" s="55"/>
      <c r="F29" s="55"/>
      <c r="G29" s="55"/>
      <c r="H29" s="55"/>
      <c r="I29" s="55"/>
      <c r="J29" s="55"/>
      <c r="K29" s="55"/>
      <c r="L29" s="55"/>
      <c r="M29" s="55"/>
      <c r="N29" s="55"/>
      <c r="O29" s="55"/>
      <c r="P29" s="55"/>
      <c r="Q29" s="54"/>
    </row>
    <row r="30">
      <c r="A30" s="204" t="s">
        <v>358</v>
      </c>
      <c r="B30" s="240">
        <v>46125.0</v>
      </c>
      <c r="C30" s="24"/>
      <c r="D30" s="240">
        <v>46126.0</v>
      </c>
      <c r="E30" s="24"/>
      <c r="F30" s="240">
        <v>46127.0</v>
      </c>
      <c r="G30" s="24"/>
      <c r="H30" s="240">
        <v>46128.0</v>
      </c>
      <c r="I30" s="24"/>
      <c r="J30" s="240">
        <v>46129.0</v>
      </c>
      <c r="K30" s="24"/>
      <c r="L30" s="240">
        <v>46130.0</v>
      </c>
      <c r="M30" s="24"/>
      <c r="N30" s="240">
        <v>46131.0</v>
      </c>
      <c r="O30" s="24"/>
      <c r="P30" s="202" t="s">
        <v>287</v>
      </c>
      <c r="Q30" s="202" t="s">
        <v>288</v>
      </c>
    </row>
    <row r="31">
      <c r="A31" s="49"/>
      <c r="B31" s="208">
        <v>4.0</v>
      </c>
      <c r="C31" s="209" t="s">
        <v>295</v>
      </c>
      <c r="D31" s="210">
        <v>7.0</v>
      </c>
      <c r="E31" s="209" t="s">
        <v>295</v>
      </c>
      <c r="F31" s="208">
        <v>4.0</v>
      </c>
      <c r="G31" s="209" t="s">
        <v>295</v>
      </c>
      <c r="H31" s="208">
        <v>4.0</v>
      </c>
      <c r="I31" s="209" t="s">
        <v>295</v>
      </c>
      <c r="J31" s="210">
        <v>0.0</v>
      </c>
      <c r="K31" s="209" t="s">
        <v>295</v>
      </c>
      <c r="L31" s="210">
        <v>3.0</v>
      </c>
      <c r="M31" s="209" t="s">
        <v>295</v>
      </c>
      <c r="N31" s="210">
        <v>3.0</v>
      </c>
      <c r="O31" s="209" t="s">
        <v>295</v>
      </c>
      <c r="P31" s="54"/>
      <c r="Q31" s="54"/>
    </row>
    <row r="32">
      <c r="A32" s="49"/>
      <c r="B32" s="235" t="s">
        <v>356</v>
      </c>
      <c r="C32" s="212"/>
      <c r="D32" s="213" t="s">
        <v>359</v>
      </c>
      <c r="E32" s="212"/>
      <c r="F32" s="235" t="s">
        <v>356</v>
      </c>
      <c r="G32" s="212"/>
      <c r="H32" s="235" t="s">
        <v>356</v>
      </c>
      <c r="I32" s="212"/>
      <c r="J32" s="213" t="s">
        <v>300</v>
      </c>
      <c r="K32" s="212"/>
      <c r="L32" s="213" t="s">
        <v>354</v>
      </c>
      <c r="M32" s="212"/>
      <c r="N32" s="213" t="s">
        <v>360</v>
      </c>
      <c r="O32" s="212"/>
      <c r="P32" s="206">
        <f>SUM(B31,D31,F31,H31,J31,L31,N31)</f>
        <v>25</v>
      </c>
      <c r="Q32" s="234"/>
    </row>
    <row r="33">
      <c r="A33" s="49"/>
      <c r="B33" s="209" t="s">
        <v>302</v>
      </c>
      <c r="C33" s="209" t="s">
        <v>303</v>
      </c>
      <c r="D33" s="209" t="s">
        <v>302</v>
      </c>
      <c r="E33" s="209" t="s">
        <v>303</v>
      </c>
      <c r="F33" s="209" t="s">
        <v>302</v>
      </c>
      <c r="G33" s="209" t="s">
        <v>303</v>
      </c>
      <c r="H33" s="209" t="s">
        <v>302</v>
      </c>
      <c r="I33" s="209" t="s">
        <v>303</v>
      </c>
      <c r="J33" s="209" t="s">
        <v>302</v>
      </c>
      <c r="K33" s="209" t="s">
        <v>303</v>
      </c>
      <c r="L33" s="209" t="s">
        <v>302</v>
      </c>
      <c r="M33" s="209" t="s">
        <v>303</v>
      </c>
      <c r="N33" s="209" t="s">
        <v>302</v>
      </c>
      <c r="O33" s="209" t="s">
        <v>303</v>
      </c>
      <c r="P33" s="49"/>
      <c r="Q33" s="49"/>
    </row>
    <row r="34">
      <c r="A34" s="49"/>
      <c r="B34" s="214"/>
      <c r="C34" s="214"/>
      <c r="D34" s="214"/>
      <c r="E34" s="214"/>
      <c r="F34" s="214"/>
      <c r="G34" s="214"/>
      <c r="H34" s="214"/>
      <c r="I34" s="214"/>
      <c r="J34" s="214"/>
      <c r="K34" s="214"/>
      <c r="L34" s="214"/>
      <c r="M34" s="215"/>
      <c r="N34" s="214"/>
      <c r="O34" s="214"/>
      <c r="P34" s="3"/>
      <c r="Q34" s="3"/>
    </row>
    <row r="35">
      <c r="A35" s="216" t="s">
        <v>361</v>
      </c>
      <c r="B35" s="217" t="s">
        <v>305</v>
      </c>
      <c r="C35" s="24"/>
      <c r="D35" s="217" t="s">
        <v>305</v>
      </c>
      <c r="E35" s="24"/>
      <c r="F35" s="217" t="s">
        <v>305</v>
      </c>
      <c r="G35" s="24"/>
      <c r="H35" s="217" t="s">
        <v>305</v>
      </c>
      <c r="I35" s="24"/>
      <c r="J35" s="217" t="s">
        <v>305</v>
      </c>
      <c r="K35" s="24"/>
      <c r="L35" s="217" t="s">
        <v>305</v>
      </c>
      <c r="M35" s="24"/>
      <c r="N35" s="217" t="s">
        <v>305</v>
      </c>
      <c r="O35" s="24"/>
      <c r="P35" s="218" t="s">
        <v>306</v>
      </c>
      <c r="Q35" s="24"/>
    </row>
    <row r="36">
      <c r="A36" s="49"/>
      <c r="B36" s="219"/>
      <c r="C36" s="24"/>
      <c r="D36" s="219"/>
      <c r="E36" s="24"/>
      <c r="F36" s="219"/>
      <c r="G36" s="24"/>
      <c r="H36" s="219"/>
      <c r="I36" s="24"/>
      <c r="J36" s="219"/>
      <c r="K36" s="24"/>
      <c r="L36" s="219"/>
      <c r="M36" s="24"/>
      <c r="N36" s="219"/>
      <c r="O36" s="24"/>
      <c r="P36" s="219"/>
      <c r="Q36" s="24"/>
    </row>
    <row r="37">
      <c r="A37" s="49"/>
      <c r="B37" s="220" t="s">
        <v>307</v>
      </c>
      <c r="C37" s="221" t="b">
        <v>0</v>
      </c>
      <c r="D37" s="220" t="s">
        <v>307</v>
      </c>
      <c r="E37" s="223" t="b">
        <v>0</v>
      </c>
      <c r="F37" s="220" t="s">
        <v>307</v>
      </c>
      <c r="G37" s="223" t="b">
        <v>0</v>
      </c>
      <c r="H37" s="220" t="s">
        <v>307</v>
      </c>
      <c r="I37" s="223" t="b">
        <v>0</v>
      </c>
      <c r="J37" s="220" t="s">
        <v>307</v>
      </c>
      <c r="K37" s="223" t="b">
        <v>0</v>
      </c>
      <c r="L37" s="220" t="s">
        <v>307</v>
      </c>
      <c r="M37" s="223" t="b">
        <v>0</v>
      </c>
      <c r="N37" s="220" t="s">
        <v>307</v>
      </c>
      <c r="O37" s="223" t="b">
        <v>0</v>
      </c>
      <c r="P37" s="224">
        <f t="shared" ref="P37:P38" si="3">COUNTIF(B37:O37,True)/COUNTA(B37:O37)%/50</f>
        <v>0</v>
      </c>
      <c r="Q37" s="225" t="s">
        <v>308</v>
      </c>
    </row>
    <row r="38">
      <c r="A38" s="49"/>
      <c r="B38" s="220" t="s">
        <v>309</v>
      </c>
      <c r="C38" s="221" t="b">
        <v>0</v>
      </c>
      <c r="D38" s="220" t="s">
        <v>309</v>
      </c>
      <c r="E38" s="221" t="b">
        <v>0</v>
      </c>
      <c r="F38" s="220" t="s">
        <v>309</v>
      </c>
      <c r="G38" s="223" t="b">
        <v>0</v>
      </c>
      <c r="H38" s="220" t="s">
        <v>309</v>
      </c>
      <c r="I38" s="223" t="b">
        <v>0</v>
      </c>
      <c r="J38" s="220" t="s">
        <v>309</v>
      </c>
      <c r="K38" s="223" t="b">
        <v>0</v>
      </c>
      <c r="L38" s="220" t="s">
        <v>309</v>
      </c>
      <c r="M38" s="223" t="b">
        <v>0</v>
      </c>
      <c r="N38" s="220" t="s">
        <v>309</v>
      </c>
      <c r="O38" s="223" t="b">
        <v>0</v>
      </c>
      <c r="P38" s="224">
        <f t="shared" si="3"/>
        <v>0</v>
      </c>
      <c r="Q38" s="3"/>
    </row>
    <row r="39">
      <c r="A39" s="49"/>
      <c r="B39" s="226" t="s">
        <v>310</v>
      </c>
      <c r="C39" s="227"/>
      <c r="D39" s="226" t="s">
        <v>310</v>
      </c>
      <c r="E39" s="227"/>
      <c r="F39" s="226" t="s">
        <v>310</v>
      </c>
      <c r="G39" s="227"/>
      <c r="H39" s="226" t="s">
        <v>310</v>
      </c>
      <c r="I39" s="227"/>
      <c r="J39" s="226" t="s">
        <v>310</v>
      </c>
      <c r="K39" s="227"/>
      <c r="L39" s="226" t="s">
        <v>310</v>
      </c>
      <c r="M39" s="227"/>
      <c r="N39" s="226" t="s">
        <v>310</v>
      </c>
      <c r="O39" s="227"/>
      <c r="P39" s="228">
        <f>COUNTIF(B39:O39,"Yes")</f>
        <v>0</v>
      </c>
      <c r="Q39" s="229" t="s">
        <v>311</v>
      </c>
    </row>
    <row r="40">
      <c r="A40" s="3"/>
      <c r="B40" s="230" t="s">
        <v>312</v>
      </c>
      <c r="C40" s="231"/>
      <c r="D40" s="230" t="s">
        <v>312</v>
      </c>
      <c r="E40" s="231"/>
      <c r="F40" s="230" t="s">
        <v>312</v>
      </c>
      <c r="G40" s="231"/>
      <c r="H40" s="230" t="s">
        <v>312</v>
      </c>
      <c r="I40" s="231"/>
      <c r="J40" s="230" t="s">
        <v>312</v>
      </c>
      <c r="K40" s="231"/>
      <c r="L40" s="230" t="s">
        <v>312</v>
      </c>
      <c r="M40" s="231"/>
      <c r="N40" s="230" t="s">
        <v>312</v>
      </c>
      <c r="O40" s="231"/>
      <c r="P40" s="232">
        <f>SUM(C40,E40,G40,I40,K40,M40,O40)/7</f>
        <v>0</v>
      </c>
      <c r="Q40" s="230" t="s">
        <v>313</v>
      </c>
    </row>
    <row r="41" ht="10.5" customHeight="1">
      <c r="A41" s="233"/>
      <c r="B41" s="55"/>
      <c r="C41" s="55"/>
      <c r="D41" s="55"/>
      <c r="E41" s="55"/>
      <c r="F41" s="55"/>
      <c r="G41" s="55"/>
      <c r="H41" s="55"/>
      <c r="I41" s="55"/>
      <c r="J41" s="55"/>
      <c r="K41" s="55"/>
      <c r="L41" s="55"/>
      <c r="M41" s="55"/>
      <c r="N41" s="55"/>
      <c r="O41" s="55"/>
      <c r="P41" s="55"/>
      <c r="Q41" s="54"/>
    </row>
    <row r="42">
      <c r="A42" s="204" t="s">
        <v>316</v>
      </c>
      <c r="B42" s="240">
        <v>46132.0</v>
      </c>
      <c r="C42" s="24"/>
      <c r="D42" s="240">
        <v>46133.0</v>
      </c>
      <c r="E42" s="24"/>
      <c r="F42" s="240">
        <v>46134.0</v>
      </c>
      <c r="G42" s="24"/>
      <c r="H42" s="240">
        <v>46135.0</v>
      </c>
      <c r="I42" s="24"/>
      <c r="J42" s="240">
        <v>46136.0</v>
      </c>
      <c r="K42" s="24"/>
      <c r="L42" s="240">
        <v>46137.0</v>
      </c>
      <c r="M42" s="24"/>
      <c r="N42" s="240">
        <v>46138.0</v>
      </c>
      <c r="O42" s="24"/>
      <c r="P42" s="202" t="s">
        <v>287</v>
      </c>
      <c r="Q42" s="202" t="s">
        <v>288</v>
      </c>
    </row>
    <row r="43">
      <c r="A43" s="49"/>
      <c r="B43" s="210">
        <v>27.0</v>
      </c>
      <c r="C43" s="209" t="s">
        <v>295</v>
      </c>
      <c r="D43" s="210">
        <v>0.0</v>
      </c>
      <c r="E43" s="209" t="s">
        <v>295</v>
      </c>
      <c r="F43" s="210">
        <v>0.0</v>
      </c>
      <c r="G43" s="209" t="s">
        <v>295</v>
      </c>
      <c r="H43" s="210">
        <v>0.0</v>
      </c>
      <c r="I43" s="209" t="s">
        <v>295</v>
      </c>
      <c r="J43" s="210">
        <v>0.0</v>
      </c>
      <c r="K43" s="209" t="s">
        <v>295</v>
      </c>
      <c r="L43" s="210">
        <v>0.0</v>
      </c>
      <c r="M43" s="209" t="s">
        <v>295</v>
      </c>
      <c r="N43" s="210">
        <v>0.0</v>
      </c>
      <c r="O43" s="209" t="s">
        <v>295</v>
      </c>
      <c r="P43" s="54"/>
      <c r="Q43" s="54"/>
    </row>
    <row r="44">
      <c r="A44" s="49"/>
      <c r="B44" s="242" t="s">
        <v>362</v>
      </c>
      <c r="C44" s="212"/>
      <c r="D44" s="213" t="s">
        <v>291</v>
      </c>
      <c r="E44" s="212"/>
      <c r="F44" s="213" t="s">
        <v>291</v>
      </c>
      <c r="G44" s="212"/>
      <c r="H44" s="213" t="s">
        <v>291</v>
      </c>
      <c r="I44" s="212"/>
      <c r="J44" s="213" t="s">
        <v>363</v>
      </c>
      <c r="K44" s="212"/>
      <c r="L44" s="213" t="s">
        <v>363</v>
      </c>
      <c r="M44" s="212"/>
      <c r="N44" s="213" t="s">
        <v>363</v>
      </c>
      <c r="O44" s="212"/>
      <c r="P44" s="206">
        <f>SUM(B43,D43,F43,H43,J43,L43,N43)</f>
        <v>27</v>
      </c>
      <c r="Q44" s="234"/>
    </row>
    <row r="45">
      <c r="A45" s="49"/>
      <c r="B45" s="209" t="s">
        <v>302</v>
      </c>
      <c r="C45" s="209" t="s">
        <v>303</v>
      </c>
      <c r="D45" s="209" t="s">
        <v>302</v>
      </c>
      <c r="E45" s="209" t="s">
        <v>303</v>
      </c>
      <c r="F45" s="209" t="s">
        <v>302</v>
      </c>
      <c r="G45" s="209" t="s">
        <v>303</v>
      </c>
      <c r="H45" s="209" t="s">
        <v>302</v>
      </c>
      <c r="I45" s="209" t="s">
        <v>303</v>
      </c>
      <c r="J45" s="209" t="s">
        <v>302</v>
      </c>
      <c r="K45" s="209" t="s">
        <v>303</v>
      </c>
      <c r="L45" s="209" t="s">
        <v>302</v>
      </c>
      <c r="M45" s="209" t="s">
        <v>303</v>
      </c>
      <c r="N45" s="209" t="s">
        <v>302</v>
      </c>
      <c r="O45" s="209" t="s">
        <v>303</v>
      </c>
      <c r="P45" s="49"/>
      <c r="Q45" s="49"/>
    </row>
    <row r="46">
      <c r="A46" s="49"/>
      <c r="B46" s="214"/>
      <c r="C46" s="214"/>
      <c r="D46" s="214"/>
      <c r="E46" s="214"/>
      <c r="F46" s="214"/>
      <c r="G46" s="214"/>
      <c r="H46" s="214"/>
      <c r="I46" s="214"/>
      <c r="J46" s="214"/>
      <c r="K46" s="214"/>
      <c r="L46" s="214"/>
      <c r="M46" s="215"/>
      <c r="N46" s="214"/>
      <c r="O46" s="214"/>
      <c r="P46" s="3"/>
      <c r="Q46" s="3"/>
    </row>
    <row r="47">
      <c r="A47" s="216" t="s">
        <v>332</v>
      </c>
      <c r="B47" s="217" t="s">
        <v>305</v>
      </c>
      <c r="C47" s="24"/>
      <c r="D47" s="217" t="s">
        <v>305</v>
      </c>
      <c r="E47" s="24"/>
      <c r="F47" s="217" t="s">
        <v>305</v>
      </c>
      <c r="G47" s="24"/>
      <c r="H47" s="217" t="s">
        <v>305</v>
      </c>
      <c r="I47" s="24"/>
      <c r="J47" s="217" t="s">
        <v>305</v>
      </c>
      <c r="K47" s="24"/>
      <c r="L47" s="217" t="s">
        <v>305</v>
      </c>
      <c r="M47" s="24"/>
      <c r="N47" s="217" t="s">
        <v>305</v>
      </c>
      <c r="O47" s="24"/>
      <c r="P47" s="218" t="s">
        <v>306</v>
      </c>
      <c r="Q47" s="24"/>
    </row>
    <row r="48">
      <c r="A48" s="49"/>
      <c r="B48" s="219"/>
      <c r="C48" s="24"/>
      <c r="D48" s="219"/>
      <c r="E48" s="24"/>
      <c r="F48" s="219"/>
      <c r="G48" s="24"/>
      <c r="H48" s="219"/>
      <c r="I48" s="24"/>
      <c r="J48" s="219"/>
      <c r="K48" s="24"/>
      <c r="L48" s="219"/>
      <c r="M48" s="24"/>
      <c r="N48" s="219"/>
      <c r="O48" s="24"/>
      <c r="P48" s="219"/>
      <c r="Q48" s="24"/>
    </row>
    <row r="49">
      <c r="A49" s="49"/>
      <c r="B49" s="220" t="s">
        <v>307</v>
      </c>
      <c r="C49" s="221" t="b">
        <v>0</v>
      </c>
      <c r="D49" s="220" t="s">
        <v>307</v>
      </c>
      <c r="E49" s="223" t="b">
        <v>0</v>
      </c>
      <c r="F49" s="220" t="s">
        <v>307</v>
      </c>
      <c r="G49" s="223" t="b">
        <v>0</v>
      </c>
      <c r="H49" s="220" t="s">
        <v>307</v>
      </c>
      <c r="I49" s="223" t="b">
        <v>0</v>
      </c>
      <c r="J49" s="220" t="s">
        <v>307</v>
      </c>
      <c r="K49" s="223" t="b">
        <v>0</v>
      </c>
      <c r="L49" s="220" t="s">
        <v>307</v>
      </c>
      <c r="M49" s="223" t="b">
        <v>0</v>
      </c>
      <c r="N49" s="220" t="s">
        <v>307</v>
      </c>
      <c r="O49" s="223" t="b">
        <v>0</v>
      </c>
      <c r="P49" s="224">
        <f t="shared" ref="P49:P50" si="4">COUNTIF(B49:O49,True)/COUNTA(B49:O49)%/50</f>
        <v>0</v>
      </c>
      <c r="Q49" s="225" t="s">
        <v>308</v>
      </c>
    </row>
    <row r="50">
      <c r="A50" s="49"/>
      <c r="B50" s="220" t="s">
        <v>309</v>
      </c>
      <c r="C50" s="221" t="b">
        <v>0</v>
      </c>
      <c r="D50" s="220" t="s">
        <v>309</v>
      </c>
      <c r="E50" s="221" t="b">
        <v>0</v>
      </c>
      <c r="F50" s="220" t="s">
        <v>309</v>
      </c>
      <c r="G50" s="223" t="b">
        <v>0</v>
      </c>
      <c r="H50" s="220" t="s">
        <v>309</v>
      </c>
      <c r="I50" s="223" t="b">
        <v>0</v>
      </c>
      <c r="J50" s="220" t="s">
        <v>309</v>
      </c>
      <c r="K50" s="223" t="b">
        <v>0</v>
      </c>
      <c r="L50" s="220" t="s">
        <v>309</v>
      </c>
      <c r="M50" s="223" t="b">
        <v>0</v>
      </c>
      <c r="N50" s="220" t="s">
        <v>309</v>
      </c>
      <c r="O50" s="223" t="b">
        <v>0</v>
      </c>
      <c r="P50" s="224">
        <f t="shared" si="4"/>
        <v>0</v>
      </c>
      <c r="Q50" s="3"/>
    </row>
    <row r="51">
      <c r="A51" s="49"/>
      <c r="B51" s="226" t="s">
        <v>310</v>
      </c>
      <c r="C51" s="227"/>
      <c r="D51" s="226" t="s">
        <v>310</v>
      </c>
      <c r="E51" s="227"/>
      <c r="F51" s="226" t="s">
        <v>310</v>
      </c>
      <c r="G51" s="227"/>
      <c r="H51" s="226" t="s">
        <v>310</v>
      </c>
      <c r="I51" s="227"/>
      <c r="J51" s="226" t="s">
        <v>310</v>
      </c>
      <c r="K51" s="227"/>
      <c r="L51" s="226" t="s">
        <v>310</v>
      </c>
      <c r="M51" s="227"/>
      <c r="N51" s="226" t="s">
        <v>310</v>
      </c>
      <c r="O51" s="227"/>
      <c r="P51" s="228">
        <f>COUNTIF(B51:O51,"Yes")</f>
        <v>0</v>
      </c>
      <c r="Q51" s="229" t="s">
        <v>311</v>
      </c>
    </row>
    <row r="52">
      <c r="A52" s="3"/>
      <c r="B52" s="230" t="s">
        <v>312</v>
      </c>
      <c r="C52" s="231"/>
      <c r="D52" s="230" t="s">
        <v>312</v>
      </c>
      <c r="E52" s="231"/>
      <c r="F52" s="230" t="s">
        <v>312</v>
      </c>
      <c r="G52" s="231"/>
      <c r="H52" s="230" t="s">
        <v>312</v>
      </c>
      <c r="I52" s="231"/>
      <c r="J52" s="230" t="s">
        <v>312</v>
      </c>
      <c r="K52" s="231"/>
      <c r="L52" s="230" t="s">
        <v>312</v>
      </c>
      <c r="M52" s="231"/>
      <c r="N52" s="230" t="s">
        <v>312</v>
      </c>
      <c r="O52" s="231"/>
      <c r="P52" s="232">
        <f>SUM(C52,E52,G52,I52,K52,M52,O52)/7</f>
        <v>0</v>
      </c>
      <c r="Q52" s="230" t="s">
        <v>313</v>
      </c>
    </row>
    <row r="53" ht="10.5" customHeight="1">
      <c r="A53" s="233"/>
      <c r="B53" s="55"/>
      <c r="C53" s="55"/>
      <c r="D53" s="55"/>
      <c r="E53" s="55"/>
      <c r="F53" s="55"/>
      <c r="G53" s="55"/>
      <c r="H53" s="55"/>
      <c r="I53" s="55"/>
      <c r="J53" s="55"/>
      <c r="K53" s="55"/>
      <c r="L53" s="55"/>
      <c r="M53" s="55"/>
      <c r="N53" s="55"/>
      <c r="O53" s="55"/>
      <c r="P53" s="55"/>
      <c r="Q53" s="54"/>
    </row>
    <row r="54">
      <c r="A54" s="204" t="s">
        <v>364</v>
      </c>
      <c r="B54" s="240">
        <v>46139.0</v>
      </c>
      <c r="C54" s="24"/>
      <c r="D54" s="240">
        <v>46140.0</v>
      </c>
      <c r="E54" s="24"/>
      <c r="F54" s="240">
        <v>46141.0</v>
      </c>
      <c r="G54" s="24"/>
      <c r="H54" s="240">
        <v>46142.0</v>
      </c>
      <c r="I54" s="24"/>
      <c r="J54" s="240">
        <v>46143.0</v>
      </c>
      <c r="K54" s="24"/>
      <c r="L54" s="240">
        <v>46144.0</v>
      </c>
      <c r="M54" s="24"/>
      <c r="N54" s="240">
        <v>46145.0</v>
      </c>
      <c r="O54" s="24"/>
      <c r="P54" s="202" t="s">
        <v>287</v>
      </c>
      <c r="Q54" s="202" t="s">
        <v>288</v>
      </c>
    </row>
    <row r="55">
      <c r="A55" s="49"/>
      <c r="B55" s="208">
        <v>4.0</v>
      </c>
      <c r="C55" s="209" t="s">
        <v>295</v>
      </c>
      <c r="D55" s="210">
        <v>6.0</v>
      </c>
      <c r="E55" s="209" t="s">
        <v>295</v>
      </c>
      <c r="F55" s="208">
        <v>4.0</v>
      </c>
      <c r="G55" s="209" t="s">
        <v>295</v>
      </c>
      <c r="H55" s="210">
        <v>6.0</v>
      </c>
      <c r="I55" s="209" t="s">
        <v>295</v>
      </c>
      <c r="J55" s="210">
        <v>0.0</v>
      </c>
      <c r="K55" s="209" t="s">
        <v>295</v>
      </c>
      <c r="L55" s="210">
        <v>10.0</v>
      </c>
      <c r="M55" s="209" t="s">
        <v>295</v>
      </c>
      <c r="N55" s="210">
        <v>0.0</v>
      </c>
      <c r="O55" s="209" t="s">
        <v>295</v>
      </c>
      <c r="P55" s="54"/>
      <c r="Q55" s="54"/>
    </row>
    <row r="56">
      <c r="A56" s="49"/>
      <c r="B56" s="235" t="s">
        <v>356</v>
      </c>
      <c r="C56" s="212"/>
      <c r="D56" s="213" t="s">
        <v>354</v>
      </c>
      <c r="E56" s="212"/>
      <c r="F56" s="235" t="s">
        <v>356</v>
      </c>
      <c r="G56" s="212"/>
      <c r="H56" s="213" t="s">
        <v>365</v>
      </c>
      <c r="I56" s="212"/>
      <c r="J56" s="213" t="s">
        <v>300</v>
      </c>
      <c r="K56" s="212"/>
      <c r="L56" s="213" t="s">
        <v>366</v>
      </c>
      <c r="M56" s="212"/>
      <c r="N56" s="213" t="s">
        <v>300</v>
      </c>
      <c r="O56" s="212"/>
      <c r="P56" s="206">
        <f>SUM(B55,D55,F55,H55,J55,L55,N55)</f>
        <v>30</v>
      </c>
      <c r="Q56" s="234"/>
    </row>
    <row r="57">
      <c r="A57" s="49"/>
      <c r="B57" s="209" t="s">
        <v>302</v>
      </c>
      <c r="C57" s="209" t="s">
        <v>303</v>
      </c>
      <c r="D57" s="209" t="s">
        <v>302</v>
      </c>
      <c r="E57" s="209" t="s">
        <v>303</v>
      </c>
      <c r="F57" s="209" t="s">
        <v>302</v>
      </c>
      <c r="G57" s="209" t="s">
        <v>303</v>
      </c>
      <c r="H57" s="209" t="s">
        <v>302</v>
      </c>
      <c r="I57" s="209" t="s">
        <v>303</v>
      </c>
      <c r="J57" s="209" t="s">
        <v>302</v>
      </c>
      <c r="K57" s="209" t="s">
        <v>303</v>
      </c>
      <c r="L57" s="209" t="s">
        <v>302</v>
      </c>
      <c r="M57" s="209" t="s">
        <v>303</v>
      </c>
      <c r="N57" s="209" t="s">
        <v>302</v>
      </c>
      <c r="O57" s="209" t="s">
        <v>303</v>
      </c>
      <c r="P57" s="49"/>
      <c r="Q57" s="49"/>
    </row>
    <row r="58">
      <c r="A58" s="49"/>
      <c r="B58" s="214"/>
      <c r="C58" s="214"/>
      <c r="D58" s="214"/>
      <c r="E58" s="214"/>
      <c r="F58" s="214"/>
      <c r="G58" s="214"/>
      <c r="H58" s="214"/>
      <c r="I58" s="214"/>
      <c r="J58" s="214"/>
      <c r="K58" s="214"/>
      <c r="L58" s="214"/>
      <c r="M58" s="215"/>
      <c r="N58" s="214"/>
      <c r="O58" s="214"/>
      <c r="P58" s="3"/>
      <c r="Q58" s="3"/>
    </row>
    <row r="59">
      <c r="A59" s="216" t="s">
        <v>367</v>
      </c>
      <c r="B59" s="217" t="s">
        <v>305</v>
      </c>
      <c r="C59" s="24"/>
      <c r="D59" s="217" t="s">
        <v>305</v>
      </c>
      <c r="E59" s="24"/>
      <c r="F59" s="217" t="s">
        <v>305</v>
      </c>
      <c r="G59" s="24"/>
      <c r="H59" s="217" t="s">
        <v>305</v>
      </c>
      <c r="I59" s="24"/>
      <c r="J59" s="217" t="s">
        <v>305</v>
      </c>
      <c r="K59" s="24"/>
      <c r="L59" s="217" t="s">
        <v>305</v>
      </c>
      <c r="M59" s="24"/>
      <c r="N59" s="217" t="s">
        <v>305</v>
      </c>
      <c r="O59" s="24"/>
      <c r="P59" s="218" t="s">
        <v>306</v>
      </c>
      <c r="Q59" s="24"/>
    </row>
    <row r="60">
      <c r="A60" s="49"/>
      <c r="B60" s="219"/>
      <c r="C60" s="24"/>
      <c r="D60" s="219"/>
      <c r="E60" s="24"/>
      <c r="F60" s="219"/>
      <c r="G60" s="24"/>
      <c r="H60" s="219"/>
      <c r="I60" s="24"/>
      <c r="J60" s="219"/>
      <c r="K60" s="24"/>
      <c r="L60" s="219"/>
      <c r="M60" s="24"/>
      <c r="N60" s="219"/>
      <c r="O60" s="24"/>
      <c r="P60" s="219"/>
      <c r="Q60" s="24"/>
    </row>
    <row r="61">
      <c r="A61" s="49"/>
      <c r="B61" s="220" t="s">
        <v>307</v>
      </c>
      <c r="C61" s="221" t="b">
        <v>0</v>
      </c>
      <c r="D61" s="220" t="s">
        <v>307</v>
      </c>
      <c r="E61" s="223" t="b">
        <v>0</v>
      </c>
      <c r="F61" s="220" t="s">
        <v>307</v>
      </c>
      <c r="G61" s="223" t="b">
        <v>0</v>
      </c>
      <c r="H61" s="220" t="s">
        <v>307</v>
      </c>
      <c r="I61" s="223" t="b">
        <v>0</v>
      </c>
      <c r="J61" s="220" t="s">
        <v>307</v>
      </c>
      <c r="K61" s="223" t="b">
        <v>0</v>
      </c>
      <c r="L61" s="220" t="s">
        <v>307</v>
      </c>
      <c r="M61" s="223" t="b">
        <v>0</v>
      </c>
      <c r="N61" s="220" t="s">
        <v>307</v>
      </c>
      <c r="O61" s="223" t="b">
        <v>0</v>
      </c>
      <c r="P61" s="224">
        <f t="shared" ref="P61:P62" si="5">COUNTIF(B61:O61,True)/COUNTA(B61:O61)%/50</f>
        <v>0</v>
      </c>
      <c r="Q61" s="225" t="s">
        <v>308</v>
      </c>
    </row>
    <row r="62">
      <c r="A62" s="49"/>
      <c r="B62" s="220" t="s">
        <v>309</v>
      </c>
      <c r="C62" s="221" t="b">
        <v>0</v>
      </c>
      <c r="D62" s="220" t="s">
        <v>309</v>
      </c>
      <c r="E62" s="221" t="b">
        <v>0</v>
      </c>
      <c r="F62" s="220" t="s">
        <v>309</v>
      </c>
      <c r="G62" s="223" t="b">
        <v>0</v>
      </c>
      <c r="H62" s="220" t="s">
        <v>309</v>
      </c>
      <c r="I62" s="223" t="b">
        <v>0</v>
      </c>
      <c r="J62" s="220" t="s">
        <v>309</v>
      </c>
      <c r="K62" s="223" t="b">
        <v>0</v>
      </c>
      <c r="L62" s="220" t="s">
        <v>309</v>
      </c>
      <c r="M62" s="223" t="b">
        <v>0</v>
      </c>
      <c r="N62" s="220" t="s">
        <v>309</v>
      </c>
      <c r="O62" s="223" t="b">
        <v>0</v>
      </c>
      <c r="P62" s="224">
        <f t="shared" si="5"/>
        <v>0</v>
      </c>
      <c r="Q62" s="3"/>
    </row>
    <row r="63">
      <c r="A63" s="49"/>
      <c r="B63" s="226" t="s">
        <v>310</v>
      </c>
      <c r="C63" s="227"/>
      <c r="D63" s="226" t="s">
        <v>310</v>
      </c>
      <c r="E63" s="227"/>
      <c r="F63" s="226" t="s">
        <v>310</v>
      </c>
      <c r="G63" s="227"/>
      <c r="H63" s="226" t="s">
        <v>310</v>
      </c>
      <c r="I63" s="227"/>
      <c r="J63" s="226" t="s">
        <v>310</v>
      </c>
      <c r="K63" s="227"/>
      <c r="L63" s="226" t="s">
        <v>310</v>
      </c>
      <c r="M63" s="227"/>
      <c r="N63" s="226" t="s">
        <v>310</v>
      </c>
      <c r="O63" s="227"/>
      <c r="P63" s="228">
        <f>COUNTIF(B63:O63,"Yes")</f>
        <v>0</v>
      </c>
      <c r="Q63" s="229" t="s">
        <v>311</v>
      </c>
    </row>
    <row r="64">
      <c r="A64" s="3"/>
      <c r="B64" s="230" t="s">
        <v>312</v>
      </c>
      <c r="C64" s="231"/>
      <c r="D64" s="230" t="s">
        <v>312</v>
      </c>
      <c r="E64" s="231"/>
      <c r="F64" s="230" t="s">
        <v>312</v>
      </c>
      <c r="G64" s="231"/>
      <c r="H64" s="230" t="s">
        <v>312</v>
      </c>
      <c r="I64" s="231"/>
      <c r="J64" s="230" t="s">
        <v>312</v>
      </c>
      <c r="K64" s="231"/>
      <c r="L64" s="230" t="s">
        <v>312</v>
      </c>
      <c r="M64" s="231"/>
      <c r="N64" s="230" t="s">
        <v>312</v>
      </c>
      <c r="O64" s="231"/>
      <c r="P64" s="232">
        <f>SUM(C64,E64,G64,I64,K64,M64,O64)/7</f>
        <v>0</v>
      </c>
      <c r="Q64" s="230" t="s">
        <v>313</v>
      </c>
    </row>
  </sheetData>
  <mergeCells count="176">
    <mergeCell ref="B18:C18"/>
    <mergeCell ref="B23:C23"/>
    <mergeCell ref="A23:A28"/>
    <mergeCell ref="B24:C24"/>
    <mergeCell ref="A30:A34"/>
    <mergeCell ref="B30:C30"/>
    <mergeCell ref="A35:A40"/>
    <mergeCell ref="B35:C35"/>
    <mergeCell ref="D35:E35"/>
    <mergeCell ref="A54:A58"/>
    <mergeCell ref="A59:A64"/>
    <mergeCell ref="B59:C59"/>
    <mergeCell ref="D59:E59"/>
    <mergeCell ref="B60:C60"/>
    <mergeCell ref="D60:E60"/>
    <mergeCell ref="A47:A52"/>
    <mergeCell ref="B47:C47"/>
    <mergeCell ref="D47:E47"/>
    <mergeCell ref="B48:C48"/>
    <mergeCell ref="D48:E48"/>
    <mergeCell ref="B54:C54"/>
    <mergeCell ref="D54:E54"/>
    <mergeCell ref="H59:I59"/>
    <mergeCell ref="J59:K59"/>
    <mergeCell ref="F60:G60"/>
    <mergeCell ref="H60:I60"/>
    <mergeCell ref="J60:K60"/>
    <mergeCell ref="L59:M59"/>
    <mergeCell ref="N59:O59"/>
    <mergeCell ref="L60:M60"/>
    <mergeCell ref="N60:O60"/>
    <mergeCell ref="P60:Q60"/>
    <mergeCell ref="Q61:Q62"/>
    <mergeCell ref="J54:K54"/>
    <mergeCell ref="L54:M54"/>
    <mergeCell ref="P54:P55"/>
    <mergeCell ref="Q54:Q55"/>
    <mergeCell ref="P56:P58"/>
    <mergeCell ref="Q56:Q58"/>
    <mergeCell ref="F59:G59"/>
    <mergeCell ref="P59:Q59"/>
    <mergeCell ref="N18:O18"/>
    <mergeCell ref="P18:P19"/>
    <mergeCell ref="Q18:Q19"/>
    <mergeCell ref="P20:P22"/>
    <mergeCell ref="Q20:Q22"/>
    <mergeCell ref="H23:I23"/>
    <mergeCell ref="J23:K23"/>
    <mergeCell ref="N23:O23"/>
    <mergeCell ref="P23:Q23"/>
    <mergeCell ref="A18:A22"/>
    <mergeCell ref="D18:E18"/>
    <mergeCell ref="F18:G18"/>
    <mergeCell ref="H18:I18"/>
    <mergeCell ref="J18:K18"/>
    <mergeCell ref="L18:M18"/>
    <mergeCell ref="L23:M23"/>
    <mergeCell ref="D23:E23"/>
    <mergeCell ref="F23:G23"/>
    <mergeCell ref="D24:E24"/>
    <mergeCell ref="F24:G24"/>
    <mergeCell ref="H24:I24"/>
    <mergeCell ref="J24:K24"/>
    <mergeCell ref="L24:M24"/>
    <mergeCell ref="N30:O30"/>
    <mergeCell ref="A41:Q41"/>
    <mergeCell ref="N24:O24"/>
    <mergeCell ref="P24:Q24"/>
    <mergeCell ref="Q25:Q26"/>
    <mergeCell ref="A29:Q29"/>
    <mergeCell ref="D30:E30"/>
    <mergeCell ref="F30:G30"/>
    <mergeCell ref="H30:I30"/>
    <mergeCell ref="H48:I48"/>
    <mergeCell ref="J48:K48"/>
    <mergeCell ref="P48:Q48"/>
    <mergeCell ref="Q49:Q50"/>
    <mergeCell ref="A53:Q53"/>
    <mergeCell ref="F54:G54"/>
    <mergeCell ref="H54:I54"/>
    <mergeCell ref="N54:O54"/>
    <mergeCell ref="F4:G4"/>
    <mergeCell ref="H4:I4"/>
    <mergeCell ref="D5:E5"/>
    <mergeCell ref="F5:G5"/>
    <mergeCell ref="D6:E6"/>
    <mergeCell ref="F6:G6"/>
    <mergeCell ref="D11:E11"/>
    <mergeCell ref="F11:G11"/>
    <mergeCell ref="H11:I11"/>
    <mergeCell ref="N12:O12"/>
    <mergeCell ref="P12:Q12"/>
    <mergeCell ref="J11:K11"/>
    <mergeCell ref="L11:M11"/>
    <mergeCell ref="N11:O11"/>
    <mergeCell ref="P11:Q11"/>
    <mergeCell ref="D12:E12"/>
    <mergeCell ref="F12:G12"/>
    <mergeCell ref="H12:I12"/>
    <mergeCell ref="D2:E3"/>
    <mergeCell ref="B4:C4"/>
    <mergeCell ref="D4:E4"/>
    <mergeCell ref="J4:K4"/>
    <mergeCell ref="L4:M4"/>
    <mergeCell ref="N4:O4"/>
    <mergeCell ref="P4:P5"/>
    <mergeCell ref="N5:O5"/>
    <mergeCell ref="N6:O6"/>
    <mergeCell ref="P6:P10"/>
    <mergeCell ref="Q6:Q10"/>
    <mergeCell ref="Q13:Q14"/>
    <mergeCell ref="H5:I5"/>
    <mergeCell ref="J5:K5"/>
    <mergeCell ref="H6:I6"/>
    <mergeCell ref="J6:K6"/>
    <mergeCell ref="L6:M6"/>
    <mergeCell ref="B1:G1"/>
    <mergeCell ref="H1:I3"/>
    <mergeCell ref="J1:O3"/>
    <mergeCell ref="P1:Q3"/>
    <mergeCell ref="F2:G2"/>
    <mergeCell ref="F3:G3"/>
    <mergeCell ref="Q4:Q5"/>
    <mergeCell ref="L5:M5"/>
    <mergeCell ref="J12:K12"/>
    <mergeCell ref="L12:M12"/>
    <mergeCell ref="A17:Q17"/>
    <mergeCell ref="A1:A5"/>
    <mergeCell ref="B5:C5"/>
    <mergeCell ref="A6:A10"/>
    <mergeCell ref="B6:C6"/>
    <mergeCell ref="A11:A16"/>
    <mergeCell ref="B11:C11"/>
    <mergeCell ref="B12:C12"/>
    <mergeCell ref="H35:I35"/>
    <mergeCell ref="J35:K35"/>
    <mergeCell ref="L35:M35"/>
    <mergeCell ref="N35:O35"/>
    <mergeCell ref="J30:K30"/>
    <mergeCell ref="L30:M30"/>
    <mergeCell ref="P30:P31"/>
    <mergeCell ref="Q30:Q31"/>
    <mergeCell ref="P32:P34"/>
    <mergeCell ref="Q32:Q34"/>
    <mergeCell ref="F35:G35"/>
    <mergeCell ref="P35:Q35"/>
    <mergeCell ref="P36:Q36"/>
    <mergeCell ref="Q37:Q38"/>
    <mergeCell ref="B36:C36"/>
    <mergeCell ref="D36:E36"/>
    <mergeCell ref="F36:G36"/>
    <mergeCell ref="H36:I36"/>
    <mergeCell ref="J36:K36"/>
    <mergeCell ref="L36:M36"/>
    <mergeCell ref="N36:O36"/>
    <mergeCell ref="N42:O42"/>
    <mergeCell ref="P42:P43"/>
    <mergeCell ref="Q42:Q43"/>
    <mergeCell ref="P44:P46"/>
    <mergeCell ref="Q44:Q46"/>
    <mergeCell ref="A42:A46"/>
    <mergeCell ref="B42:C42"/>
    <mergeCell ref="D42:E42"/>
    <mergeCell ref="F42:G42"/>
    <mergeCell ref="H42:I42"/>
    <mergeCell ref="J42:K42"/>
    <mergeCell ref="L42:M42"/>
    <mergeCell ref="L48:M48"/>
    <mergeCell ref="N48:O48"/>
    <mergeCell ref="F47:G47"/>
    <mergeCell ref="H47:I47"/>
    <mergeCell ref="J47:K47"/>
    <mergeCell ref="L47:M47"/>
    <mergeCell ref="N47:O47"/>
    <mergeCell ref="P47:Q47"/>
    <mergeCell ref="F48:G48"/>
  </mergeCells>
  <dataValidations>
    <dataValidation type="list" allowBlank="1" showErrorMessage="1" sqref="A11 A23 A35 A47 A59">
      <formula1>"Don't Push/ Strict Paces,Focus on Recovery Don't Push,Focus HEAVILY on Rolling/ Stretching/ Recovery,Fuel Every Quality Session/ TRACK and see what works/ doesn't,Prep/Fuel Like Race Week,If you feel good; close last 10-20% of hard/ long workouts faster,S"&amp;"tay on Top of the Little Things / Be Ready to Push,Focus More on Strength,Last EASY (50%) Strength: Sat or Sun,Schedule Race Prep Call,Communicate Daily w/ Coach"</formula1>
    </dataValidation>
    <dataValidation type="list" allowBlank="1" showErrorMessage="1" sqref="C16 E16 G16 I16 K16 M16 O16 C28 E28 G28 I28 K28 M28 O28 C40 E40 G40 I40 K40 M40 O40 C52 E52 G52 I52 K52 M52 O52 C64 E64 G64 I64 K64 M64 O64">
      <formula1>"1,2,3,4,5,6,7,8,9,10"</formula1>
    </dataValidation>
    <dataValidation type="list" allowBlank="1" showErrorMessage="1" sqref="A6 A18 A30 A42 A54">
      <formula1>"REST WEEK,BUILD WEEK,PUSH WEEK,PEAK WEEK,RACE WEEK,INJURED,ILLNESS,RETURN WEEK,CROSS TRAINING,TRAVEL/ LIMITED WEEK"</formula1>
    </dataValidation>
    <dataValidation type="list" allowBlank="1" showErrorMessage="1" sqref="C15 E15 G15 I15 K15 M15 O15 C27 E27 G27 I27 K27 M27 O27 C39 E39 G39 I39 K39 M39 O39 C51 E51 G51 I51 K51 M51 O51 C63 E63 G63 I63 K63 M63 O63">
      <formula1>"Yes,No"</formula1>
    </dataValidation>
  </dataValidations>
  <hyperlinks>
    <hyperlink r:id="rId1" ref="D2"/>
    <hyperlink r:id="rId2" ref="F2"/>
    <hyperlink r:id="rId3" ref="F3"/>
  </hyperlinks>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2" max="2" width="19.5"/>
    <col customWidth="1" min="3" max="3" width="15.38"/>
    <col customWidth="1" min="4" max="4" width="23.25"/>
    <col customWidth="1" min="5" max="5" width="14.88"/>
    <col customWidth="1" min="6" max="6" width="18.25"/>
    <col customWidth="1" min="7" max="7" width="13.88"/>
    <col customWidth="1" min="8" max="8" width="21.63"/>
    <col customWidth="1" min="10" max="10" width="18.38"/>
    <col customWidth="1" min="12" max="12" width="18.75"/>
    <col customWidth="1" min="14" max="14" width="18.25"/>
    <col customWidth="1" min="17" max="17" width="15.25"/>
  </cols>
  <sheetData>
    <row r="1">
      <c r="A1" s="238" t="str">
        <f>'April '!A1</f>
        <v>STRAVA</v>
      </c>
      <c r="B1" s="190" t="s">
        <v>368</v>
      </c>
      <c r="C1" s="23"/>
      <c r="D1" s="23"/>
      <c r="E1" s="23"/>
      <c r="F1" s="23"/>
      <c r="G1" s="23"/>
      <c r="H1" s="191" t="s">
        <v>272</v>
      </c>
      <c r="I1" s="48"/>
      <c r="J1" s="192" t="s">
        <v>369</v>
      </c>
      <c r="K1" s="48"/>
      <c r="L1" s="48"/>
      <c r="M1" s="48"/>
      <c r="N1" s="48"/>
      <c r="O1" s="48"/>
      <c r="P1" s="193"/>
      <c r="Q1" s="42"/>
    </row>
    <row r="2">
      <c r="A2" s="49"/>
      <c r="B2" s="194" t="s">
        <v>274</v>
      </c>
      <c r="C2" s="237" t="str">
        <f>'April '!C2</f>
        <v>1.5 mile</v>
      </c>
      <c r="D2" s="196" t="s">
        <v>276</v>
      </c>
      <c r="E2" s="48"/>
      <c r="F2" s="197" t="s">
        <v>277</v>
      </c>
      <c r="G2" s="24"/>
      <c r="H2" s="50"/>
      <c r="P2" s="50"/>
      <c r="Q2" s="51"/>
    </row>
    <row r="3">
      <c r="A3" s="49"/>
      <c r="B3" s="198" t="s">
        <v>278</v>
      </c>
      <c r="C3" s="237" t="str">
        <f>'April '!C3</f>
        <v>1.5 mile</v>
      </c>
      <c r="D3" s="50"/>
      <c r="F3" s="199" t="s">
        <v>279</v>
      </c>
      <c r="G3" s="24"/>
      <c r="H3" s="50"/>
      <c r="P3" s="53"/>
      <c r="Q3" s="54"/>
    </row>
    <row r="4">
      <c r="A4" s="49"/>
      <c r="B4" s="200" t="s">
        <v>280</v>
      </c>
      <c r="C4" s="24"/>
      <c r="D4" s="201" t="s">
        <v>281</v>
      </c>
      <c r="E4" s="24"/>
      <c r="F4" s="201" t="s">
        <v>282</v>
      </c>
      <c r="G4" s="24"/>
      <c r="H4" s="201" t="s">
        <v>283</v>
      </c>
      <c r="I4" s="24"/>
      <c r="J4" s="201" t="s">
        <v>284</v>
      </c>
      <c r="K4" s="24"/>
      <c r="L4" s="201" t="s">
        <v>285</v>
      </c>
      <c r="M4" s="24"/>
      <c r="N4" s="201" t="s">
        <v>286</v>
      </c>
      <c r="O4" s="24"/>
      <c r="P4" s="202" t="s">
        <v>287</v>
      </c>
      <c r="Q4" s="202" t="s">
        <v>288</v>
      </c>
    </row>
    <row r="5">
      <c r="A5" s="3"/>
      <c r="B5" s="203" t="str">
        <f>'April '!B5</f>
        <v>EASY RUN</v>
      </c>
      <c r="C5" s="24"/>
      <c r="D5" s="203" t="str">
        <f>'April '!D5</f>
        <v>HARD WORKOUT
&amp; STRENGTH</v>
      </c>
      <c r="E5" s="24"/>
      <c r="F5" s="203" t="str">
        <f>'April '!F5</f>
        <v>EASY RUN</v>
      </c>
      <c r="G5" s="24"/>
      <c r="H5" s="203" t="str">
        <f>'April '!H5</f>
        <v>HARD WORKOUT
&amp; STRENGTH</v>
      </c>
      <c r="I5" s="24"/>
      <c r="J5" s="203" t="str">
        <f>'April '!J5</f>
        <v>REST</v>
      </c>
      <c r="K5" s="24"/>
      <c r="L5" s="203" t="str">
        <f>'April '!L5</f>
        <v>LONG RUN</v>
      </c>
      <c r="M5" s="24"/>
      <c r="N5" s="239" t="str">
        <f>'April '!N5</f>
        <v>REST OR EASY RUN</v>
      </c>
      <c r="O5" s="24"/>
      <c r="P5" s="54"/>
      <c r="Q5" s="54"/>
    </row>
    <row r="6">
      <c r="A6" s="204" t="s">
        <v>294</v>
      </c>
      <c r="B6" s="240">
        <v>46146.0</v>
      </c>
      <c r="C6" s="24"/>
      <c r="D6" s="240">
        <v>46147.0</v>
      </c>
      <c r="E6" s="24"/>
      <c r="F6" s="240">
        <v>46148.0</v>
      </c>
      <c r="G6" s="24"/>
      <c r="H6" s="240">
        <v>46149.0</v>
      </c>
      <c r="I6" s="24"/>
      <c r="J6" s="240">
        <v>46150.0</v>
      </c>
      <c r="K6" s="24"/>
      <c r="L6" s="240">
        <v>46151.0</v>
      </c>
      <c r="M6" s="24"/>
      <c r="N6" s="240">
        <v>46152.0</v>
      </c>
      <c r="O6" s="24"/>
      <c r="P6" s="206">
        <f>SUM(B7,D7,F7,H7,J7,L7,N7)</f>
        <v>33</v>
      </c>
      <c r="Q6" s="207"/>
    </row>
    <row r="7">
      <c r="A7" s="49"/>
      <c r="B7" s="208">
        <v>4.0</v>
      </c>
      <c r="C7" s="209" t="s">
        <v>295</v>
      </c>
      <c r="D7" s="210">
        <v>8.0</v>
      </c>
      <c r="E7" s="209" t="s">
        <v>295</v>
      </c>
      <c r="F7" s="208">
        <v>4.0</v>
      </c>
      <c r="G7" s="209" t="s">
        <v>295</v>
      </c>
      <c r="H7" s="210">
        <v>6.0</v>
      </c>
      <c r="I7" s="209" t="s">
        <v>295</v>
      </c>
      <c r="J7" s="210">
        <v>0.0</v>
      </c>
      <c r="K7" s="209" t="s">
        <v>295</v>
      </c>
      <c r="L7" s="210">
        <v>11.0</v>
      </c>
      <c r="M7" s="209" t="s">
        <v>295</v>
      </c>
      <c r="N7" s="210">
        <v>0.0</v>
      </c>
      <c r="O7" s="209" t="s">
        <v>295</v>
      </c>
      <c r="P7" s="49"/>
      <c r="Q7" s="49"/>
    </row>
    <row r="8">
      <c r="A8" s="49"/>
      <c r="B8" s="235" t="s">
        <v>356</v>
      </c>
      <c r="C8" s="212"/>
      <c r="D8" s="213" t="s">
        <v>370</v>
      </c>
      <c r="E8" s="212"/>
      <c r="F8" s="235" t="s">
        <v>356</v>
      </c>
      <c r="G8" s="212"/>
      <c r="H8" s="213" t="s">
        <v>299</v>
      </c>
      <c r="I8" s="212"/>
      <c r="J8" s="213" t="s">
        <v>300</v>
      </c>
      <c r="K8" s="212"/>
      <c r="L8" s="213" t="s">
        <v>371</v>
      </c>
      <c r="M8" s="212"/>
      <c r="N8" s="213" t="s">
        <v>300</v>
      </c>
      <c r="O8" s="212"/>
      <c r="P8" s="49"/>
      <c r="Q8" s="49"/>
    </row>
    <row r="9">
      <c r="A9" s="49"/>
      <c r="B9" s="209" t="s">
        <v>302</v>
      </c>
      <c r="C9" s="209" t="s">
        <v>303</v>
      </c>
      <c r="D9" s="209" t="s">
        <v>302</v>
      </c>
      <c r="E9" s="209" t="s">
        <v>303</v>
      </c>
      <c r="F9" s="209" t="s">
        <v>302</v>
      </c>
      <c r="G9" s="209" t="s">
        <v>303</v>
      </c>
      <c r="H9" s="209" t="s">
        <v>302</v>
      </c>
      <c r="I9" s="209" t="s">
        <v>303</v>
      </c>
      <c r="J9" s="209" t="s">
        <v>302</v>
      </c>
      <c r="K9" s="209" t="s">
        <v>303</v>
      </c>
      <c r="L9" s="209" t="s">
        <v>302</v>
      </c>
      <c r="M9" s="209" t="s">
        <v>303</v>
      </c>
      <c r="N9" s="209" t="s">
        <v>302</v>
      </c>
      <c r="O9" s="209" t="s">
        <v>303</v>
      </c>
      <c r="P9" s="49"/>
      <c r="Q9" s="49"/>
    </row>
    <row r="10">
      <c r="A10" s="49"/>
      <c r="B10" s="214"/>
      <c r="C10" s="214"/>
      <c r="D10" s="214"/>
      <c r="E10" s="214"/>
      <c r="F10" s="214"/>
      <c r="G10" s="214"/>
      <c r="H10" s="214"/>
      <c r="I10" s="214"/>
      <c r="J10" s="214"/>
      <c r="K10" s="214"/>
      <c r="L10" s="214"/>
      <c r="M10" s="215"/>
      <c r="N10" s="214"/>
      <c r="O10" s="214"/>
      <c r="P10" s="3"/>
      <c r="Q10" s="3"/>
    </row>
    <row r="11">
      <c r="A11" s="216" t="s">
        <v>304</v>
      </c>
      <c r="B11" s="217" t="s">
        <v>305</v>
      </c>
      <c r="C11" s="24"/>
      <c r="D11" s="217" t="s">
        <v>305</v>
      </c>
      <c r="E11" s="24"/>
      <c r="F11" s="217" t="s">
        <v>305</v>
      </c>
      <c r="G11" s="24"/>
      <c r="H11" s="217" t="s">
        <v>305</v>
      </c>
      <c r="I11" s="24"/>
      <c r="J11" s="217" t="s">
        <v>305</v>
      </c>
      <c r="K11" s="24"/>
      <c r="L11" s="217" t="s">
        <v>305</v>
      </c>
      <c r="M11" s="24"/>
      <c r="N11" s="217" t="s">
        <v>305</v>
      </c>
      <c r="O11" s="24"/>
      <c r="P11" s="218" t="s">
        <v>306</v>
      </c>
      <c r="Q11" s="24"/>
    </row>
    <row r="12">
      <c r="A12" s="49"/>
      <c r="B12" s="219"/>
      <c r="C12" s="24"/>
      <c r="D12" s="219"/>
      <c r="E12" s="24"/>
      <c r="F12" s="219"/>
      <c r="G12" s="24"/>
      <c r="H12" s="219"/>
      <c r="I12" s="24"/>
      <c r="J12" s="219"/>
      <c r="K12" s="24"/>
      <c r="L12" s="219"/>
      <c r="M12" s="24"/>
      <c r="N12" s="219"/>
      <c r="O12" s="24"/>
      <c r="P12" s="219"/>
      <c r="Q12" s="24"/>
    </row>
    <row r="13">
      <c r="A13" s="49"/>
      <c r="B13" s="220" t="s">
        <v>307</v>
      </c>
      <c r="C13" s="221" t="b">
        <v>0</v>
      </c>
      <c r="D13" s="220" t="s">
        <v>307</v>
      </c>
      <c r="E13" s="223" t="b">
        <v>0</v>
      </c>
      <c r="F13" s="220" t="s">
        <v>307</v>
      </c>
      <c r="G13" s="223" t="b">
        <v>0</v>
      </c>
      <c r="H13" s="220" t="s">
        <v>307</v>
      </c>
      <c r="I13" s="223" t="b">
        <v>0</v>
      </c>
      <c r="J13" s="220" t="s">
        <v>307</v>
      </c>
      <c r="K13" s="223" t="b">
        <v>0</v>
      </c>
      <c r="L13" s="220" t="s">
        <v>307</v>
      </c>
      <c r="M13" s="223" t="b">
        <v>0</v>
      </c>
      <c r="N13" s="220" t="s">
        <v>307</v>
      </c>
      <c r="O13" s="223" t="b">
        <v>0</v>
      </c>
      <c r="P13" s="224">
        <f t="shared" ref="P13:P14" si="1">COUNTIF(B13:O13,True)/COUNTA(B13:O13)%/50</f>
        <v>0</v>
      </c>
      <c r="Q13" s="225" t="s">
        <v>308</v>
      </c>
    </row>
    <row r="14">
      <c r="A14" s="49"/>
      <c r="B14" s="220" t="s">
        <v>309</v>
      </c>
      <c r="C14" s="221" t="b">
        <v>0</v>
      </c>
      <c r="D14" s="220" t="s">
        <v>309</v>
      </c>
      <c r="E14" s="221" t="b">
        <v>0</v>
      </c>
      <c r="F14" s="220" t="s">
        <v>309</v>
      </c>
      <c r="G14" s="223" t="b">
        <v>0</v>
      </c>
      <c r="H14" s="220" t="s">
        <v>309</v>
      </c>
      <c r="I14" s="223" t="b">
        <v>0</v>
      </c>
      <c r="J14" s="220" t="s">
        <v>309</v>
      </c>
      <c r="K14" s="223" t="b">
        <v>0</v>
      </c>
      <c r="L14" s="220" t="s">
        <v>309</v>
      </c>
      <c r="M14" s="223" t="b">
        <v>0</v>
      </c>
      <c r="N14" s="220" t="s">
        <v>309</v>
      </c>
      <c r="O14" s="223" t="b">
        <v>0</v>
      </c>
      <c r="P14" s="224">
        <f t="shared" si="1"/>
        <v>0</v>
      </c>
      <c r="Q14" s="3"/>
    </row>
    <row r="15">
      <c r="A15" s="49"/>
      <c r="B15" s="226" t="s">
        <v>310</v>
      </c>
      <c r="C15" s="227"/>
      <c r="D15" s="226" t="s">
        <v>310</v>
      </c>
      <c r="E15" s="227"/>
      <c r="F15" s="226" t="s">
        <v>310</v>
      </c>
      <c r="G15" s="227"/>
      <c r="H15" s="226" t="s">
        <v>310</v>
      </c>
      <c r="I15" s="227"/>
      <c r="J15" s="226" t="s">
        <v>310</v>
      </c>
      <c r="K15" s="227"/>
      <c r="L15" s="226" t="s">
        <v>310</v>
      </c>
      <c r="M15" s="227"/>
      <c r="N15" s="226" t="s">
        <v>310</v>
      </c>
      <c r="O15" s="227"/>
      <c r="P15" s="228">
        <f>COUNTIF(B15:O15,"Yes")</f>
        <v>0</v>
      </c>
      <c r="Q15" s="229" t="s">
        <v>311</v>
      </c>
    </row>
    <row r="16">
      <c r="A16" s="3"/>
      <c r="B16" s="230" t="s">
        <v>312</v>
      </c>
      <c r="C16" s="231"/>
      <c r="D16" s="230" t="s">
        <v>312</v>
      </c>
      <c r="E16" s="231"/>
      <c r="F16" s="230" t="s">
        <v>312</v>
      </c>
      <c r="G16" s="231"/>
      <c r="H16" s="230" t="s">
        <v>312</v>
      </c>
      <c r="I16" s="231"/>
      <c r="J16" s="230" t="s">
        <v>312</v>
      </c>
      <c r="K16" s="231"/>
      <c r="L16" s="230" t="s">
        <v>312</v>
      </c>
      <c r="M16" s="231"/>
      <c r="N16" s="230" t="s">
        <v>312</v>
      </c>
      <c r="O16" s="231"/>
      <c r="P16" s="232">
        <f>SUM(C16,E16,G16,I16,K16,M16,O16)/7</f>
        <v>0</v>
      </c>
      <c r="Q16" s="230" t="s">
        <v>313</v>
      </c>
    </row>
    <row r="17" ht="10.5" customHeight="1">
      <c r="A17" s="233"/>
      <c r="B17" s="55"/>
      <c r="C17" s="55"/>
      <c r="D17" s="55"/>
      <c r="E17" s="55"/>
      <c r="F17" s="55"/>
      <c r="G17" s="55"/>
      <c r="H17" s="55"/>
      <c r="I17" s="55"/>
      <c r="J17" s="55"/>
      <c r="K17" s="55"/>
      <c r="L17" s="55"/>
      <c r="M17" s="55"/>
      <c r="N17" s="55"/>
      <c r="O17" s="55"/>
      <c r="P17" s="55"/>
      <c r="Q17" s="54"/>
    </row>
    <row r="18">
      <c r="A18" s="204" t="s">
        <v>294</v>
      </c>
      <c r="B18" s="240">
        <v>46153.0</v>
      </c>
      <c r="C18" s="24"/>
      <c r="D18" s="240">
        <v>46154.0</v>
      </c>
      <c r="E18" s="24"/>
      <c r="F18" s="240">
        <v>46155.0</v>
      </c>
      <c r="G18" s="24"/>
      <c r="H18" s="240">
        <v>46156.0</v>
      </c>
      <c r="I18" s="24"/>
      <c r="J18" s="240">
        <v>46157.0</v>
      </c>
      <c r="K18" s="24"/>
      <c r="L18" s="240">
        <v>46158.0</v>
      </c>
      <c r="M18" s="24"/>
      <c r="N18" s="240">
        <v>46159.0</v>
      </c>
      <c r="O18" s="24"/>
      <c r="P18" s="202" t="s">
        <v>287</v>
      </c>
      <c r="Q18" s="202" t="s">
        <v>288</v>
      </c>
    </row>
    <row r="19">
      <c r="A19" s="49"/>
      <c r="B19" s="208">
        <v>4.0</v>
      </c>
      <c r="C19" s="209" t="s">
        <v>295</v>
      </c>
      <c r="D19" s="210">
        <v>8.0</v>
      </c>
      <c r="E19" s="209" t="s">
        <v>295</v>
      </c>
      <c r="F19" s="208">
        <v>4.0</v>
      </c>
      <c r="G19" s="209" t="s">
        <v>295</v>
      </c>
      <c r="H19" s="210">
        <v>5.0</v>
      </c>
      <c r="I19" s="209" t="s">
        <v>295</v>
      </c>
      <c r="J19" s="210">
        <v>0.0</v>
      </c>
      <c r="K19" s="209" t="s">
        <v>295</v>
      </c>
      <c r="L19" s="210">
        <v>12.0</v>
      </c>
      <c r="M19" s="209" t="s">
        <v>295</v>
      </c>
      <c r="N19" s="210">
        <v>0.0</v>
      </c>
      <c r="O19" s="209" t="s">
        <v>295</v>
      </c>
      <c r="P19" s="54"/>
      <c r="Q19" s="54"/>
    </row>
    <row r="20">
      <c r="A20" s="49"/>
      <c r="B20" s="235" t="s">
        <v>356</v>
      </c>
      <c r="C20" s="212"/>
      <c r="D20" s="213" t="s">
        <v>372</v>
      </c>
      <c r="E20" s="212"/>
      <c r="F20" s="235" t="s">
        <v>356</v>
      </c>
      <c r="G20" s="212"/>
      <c r="H20" s="213" t="s">
        <v>373</v>
      </c>
      <c r="I20" s="212"/>
      <c r="J20" s="213" t="s">
        <v>300</v>
      </c>
      <c r="K20" s="212"/>
      <c r="L20" s="213" t="s">
        <v>374</v>
      </c>
      <c r="M20" s="212"/>
      <c r="N20" s="213" t="s">
        <v>300</v>
      </c>
      <c r="O20" s="212"/>
      <c r="P20" s="206">
        <f>SUM(B19,D19,F19,H19,J19,L19,N19)</f>
        <v>33</v>
      </c>
      <c r="Q20" s="234"/>
    </row>
    <row r="21">
      <c r="A21" s="49"/>
      <c r="B21" s="209" t="s">
        <v>302</v>
      </c>
      <c r="C21" s="209" t="s">
        <v>303</v>
      </c>
      <c r="D21" s="209" t="s">
        <v>302</v>
      </c>
      <c r="E21" s="209" t="s">
        <v>303</v>
      </c>
      <c r="F21" s="209" t="s">
        <v>302</v>
      </c>
      <c r="G21" s="209" t="s">
        <v>303</v>
      </c>
      <c r="H21" s="209" t="s">
        <v>302</v>
      </c>
      <c r="I21" s="209" t="s">
        <v>303</v>
      </c>
      <c r="J21" s="209" t="s">
        <v>302</v>
      </c>
      <c r="K21" s="209" t="s">
        <v>303</v>
      </c>
      <c r="L21" s="209" t="s">
        <v>302</v>
      </c>
      <c r="M21" s="209" t="s">
        <v>303</v>
      </c>
      <c r="N21" s="209" t="s">
        <v>302</v>
      </c>
      <c r="O21" s="209" t="s">
        <v>303</v>
      </c>
      <c r="P21" s="49"/>
      <c r="Q21" s="49"/>
    </row>
    <row r="22">
      <c r="A22" s="49"/>
      <c r="B22" s="214"/>
      <c r="C22" s="214"/>
      <c r="D22" s="214"/>
      <c r="E22" s="214"/>
      <c r="F22" s="214"/>
      <c r="G22" s="214"/>
      <c r="H22" s="214"/>
      <c r="I22" s="214"/>
      <c r="J22" s="214"/>
      <c r="K22" s="214"/>
      <c r="L22" s="214"/>
      <c r="M22" s="215"/>
      <c r="N22" s="214"/>
      <c r="O22" s="214"/>
      <c r="P22" s="3"/>
      <c r="Q22" s="3"/>
    </row>
    <row r="23">
      <c r="A23" s="216" t="s">
        <v>304</v>
      </c>
      <c r="B23" s="217" t="s">
        <v>305</v>
      </c>
      <c r="C23" s="24"/>
      <c r="D23" s="217" t="s">
        <v>305</v>
      </c>
      <c r="E23" s="24"/>
      <c r="F23" s="217" t="s">
        <v>305</v>
      </c>
      <c r="G23" s="24"/>
      <c r="H23" s="217" t="s">
        <v>305</v>
      </c>
      <c r="I23" s="24"/>
      <c r="J23" s="217" t="s">
        <v>305</v>
      </c>
      <c r="K23" s="24"/>
      <c r="L23" s="217" t="s">
        <v>305</v>
      </c>
      <c r="M23" s="24"/>
      <c r="N23" s="217" t="s">
        <v>305</v>
      </c>
      <c r="O23" s="24"/>
      <c r="P23" s="218" t="s">
        <v>306</v>
      </c>
      <c r="Q23" s="24"/>
    </row>
    <row r="24">
      <c r="A24" s="49"/>
      <c r="B24" s="219"/>
      <c r="C24" s="24"/>
      <c r="D24" s="219"/>
      <c r="E24" s="24"/>
      <c r="F24" s="219"/>
      <c r="G24" s="24"/>
      <c r="H24" s="219"/>
      <c r="I24" s="24"/>
      <c r="J24" s="219"/>
      <c r="K24" s="24"/>
      <c r="L24" s="219"/>
      <c r="M24" s="24"/>
      <c r="N24" s="219"/>
      <c r="O24" s="24"/>
      <c r="P24" s="219"/>
      <c r="Q24" s="24"/>
    </row>
    <row r="25">
      <c r="A25" s="49"/>
      <c r="B25" s="220" t="s">
        <v>307</v>
      </c>
      <c r="C25" s="221" t="b">
        <v>0</v>
      </c>
      <c r="D25" s="220" t="s">
        <v>307</v>
      </c>
      <c r="E25" s="223" t="b">
        <v>0</v>
      </c>
      <c r="F25" s="220" t="s">
        <v>307</v>
      </c>
      <c r="G25" s="223" t="b">
        <v>0</v>
      </c>
      <c r="H25" s="220" t="s">
        <v>307</v>
      </c>
      <c r="I25" s="223" t="b">
        <v>0</v>
      </c>
      <c r="J25" s="220" t="s">
        <v>307</v>
      </c>
      <c r="K25" s="223" t="b">
        <v>0</v>
      </c>
      <c r="L25" s="220" t="s">
        <v>307</v>
      </c>
      <c r="M25" s="223" t="b">
        <v>0</v>
      </c>
      <c r="N25" s="220" t="s">
        <v>307</v>
      </c>
      <c r="O25" s="223" t="b">
        <v>0</v>
      </c>
      <c r="P25" s="224">
        <f t="shared" ref="P25:P26" si="2">COUNTIF(B25:O25,True)/COUNTA(B25:O25)%/50</f>
        <v>0</v>
      </c>
      <c r="Q25" s="225" t="s">
        <v>308</v>
      </c>
    </row>
    <row r="26">
      <c r="A26" s="49"/>
      <c r="B26" s="220" t="s">
        <v>309</v>
      </c>
      <c r="C26" s="221" t="b">
        <v>0</v>
      </c>
      <c r="D26" s="220" t="s">
        <v>309</v>
      </c>
      <c r="E26" s="221" t="b">
        <v>0</v>
      </c>
      <c r="F26" s="220" t="s">
        <v>309</v>
      </c>
      <c r="G26" s="223" t="b">
        <v>0</v>
      </c>
      <c r="H26" s="220" t="s">
        <v>309</v>
      </c>
      <c r="I26" s="223" t="b">
        <v>0</v>
      </c>
      <c r="J26" s="220" t="s">
        <v>309</v>
      </c>
      <c r="K26" s="223" t="b">
        <v>0</v>
      </c>
      <c r="L26" s="220" t="s">
        <v>309</v>
      </c>
      <c r="M26" s="223" t="b">
        <v>0</v>
      </c>
      <c r="N26" s="220" t="s">
        <v>309</v>
      </c>
      <c r="O26" s="223" t="b">
        <v>0</v>
      </c>
      <c r="P26" s="224">
        <f t="shared" si="2"/>
        <v>0</v>
      </c>
      <c r="Q26" s="3"/>
    </row>
    <row r="27">
      <c r="A27" s="49"/>
      <c r="B27" s="226" t="s">
        <v>310</v>
      </c>
      <c r="C27" s="227"/>
      <c r="D27" s="226" t="s">
        <v>310</v>
      </c>
      <c r="E27" s="227"/>
      <c r="F27" s="226" t="s">
        <v>310</v>
      </c>
      <c r="G27" s="227"/>
      <c r="H27" s="226" t="s">
        <v>310</v>
      </c>
      <c r="I27" s="227"/>
      <c r="J27" s="226" t="s">
        <v>310</v>
      </c>
      <c r="K27" s="227"/>
      <c r="L27" s="226" t="s">
        <v>310</v>
      </c>
      <c r="M27" s="227"/>
      <c r="N27" s="226" t="s">
        <v>310</v>
      </c>
      <c r="O27" s="227"/>
      <c r="P27" s="228">
        <f>COUNTIF(B27:O27,"Yes")</f>
        <v>0</v>
      </c>
      <c r="Q27" s="229" t="s">
        <v>311</v>
      </c>
    </row>
    <row r="28">
      <c r="A28" s="3"/>
      <c r="B28" s="230" t="s">
        <v>312</v>
      </c>
      <c r="C28" s="231"/>
      <c r="D28" s="230" t="s">
        <v>312</v>
      </c>
      <c r="E28" s="231"/>
      <c r="F28" s="230" t="s">
        <v>312</v>
      </c>
      <c r="G28" s="231"/>
      <c r="H28" s="230" t="s">
        <v>312</v>
      </c>
      <c r="I28" s="231"/>
      <c r="J28" s="230" t="s">
        <v>312</v>
      </c>
      <c r="K28" s="231"/>
      <c r="L28" s="230" t="s">
        <v>312</v>
      </c>
      <c r="M28" s="231"/>
      <c r="N28" s="230" t="s">
        <v>312</v>
      </c>
      <c r="O28" s="231"/>
      <c r="P28" s="232">
        <f>SUM(C28,E28,G28,I28,K28,M28,O28)/7</f>
        <v>0</v>
      </c>
      <c r="Q28" s="230" t="s">
        <v>313</v>
      </c>
    </row>
    <row r="29" ht="10.5" customHeight="1">
      <c r="A29" s="233"/>
      <c r="B29" s="55"/>
      <c r="C29" s="55"/>
      <c r="D29" s="55"/>
      <c r="E29" s="55"/>
      <c r="F29" s="55"/>
      <c r="G29" s="55"/>
      <c r="H29" s="55"/>
      <c r="I29" s="55"/>
      <c r="J29" s="55"/>
      <c r="K29" s="55"/>
      <c r="L29" s="55"/>
      <c r="M29" s="55"/>
      <c r="N29" s="55"/>
      <c r="O29" s="55"/>
      <c r="P29" s="55"/>
      <c r="Q29" s="54"/>
    </row>
    <row r="30">
      <c r="A30" s="204" t="s">
        <v>294</v>
      </c>
      <c r="B30" s="240">
        <v>46160.0</v>
      </c>
      <c r="C30" s="24"/>
      <c r="D30" s="240">
        <v>46161.0</v>
      </c>
      <c r="E30" s="24"/>
      <c r="F30" s="240">
        <v>46162.0</v>
      </c>
      <c r="G30" s="24"/>
      <c r="H30" s="240">
        <v>46163.0</v>
      </c>
      <c r="I30" s="24"/>
      <c r="J30" s="240">
        <v>46164.0</v>
      </c>
      <c r="K30" s="24"/>
      <c r="L30" s="240">
        <v>46165.0</v>
      </c>
      <c r="M30" s="24"/>
      <c r="N30" s="240">
        <v>46166.0</v>
      </c>
      <c r="O30" s="24"/>
      <c r="P30" s="202" t="s">
        <v>287</v>
      </c>
      <c r="Q30" s="202" t="s">
        <v>288</v>
      </c>
    </row>
    <row r="31">
      <c r="A31" s="49"/>
      <c r="B31" s="208">
        <v>4.0</v>
      </c>
      <c r="C31" s="209" t="s">
        <v>295</v>
      </c>
      <c r="D31" s="210">
        <v>9.0</v>
      </c>
      <c r="E31" s="209" t="s">
        <v>295</v>
      </c>
      <c r="F31" s="208">
        <v>4.0</v>
      </c>
      <c r="G31" s="209" t="s">
        <v>295</v>
      </c>
      <c r="H31" s="210">
        <v>6.0</v>
      </c>
      <c r="I31" s="209" t="s">
        <v>295</v>
      </c>
      <c r="J31" s="210">
        <v>0.0</v>
      </c>
      <c r="K31" s="209" t="s">
        <v>295</v>
      </c>
      <c r="L31" s="210">
        <v>12.0</v>
      </c>
      <c r="M31" s="209" t="s">
        <v>295</v>
      </c>
      <c r="N31" s="210">
        <v>0.0</v>
      </c>
      <c r="O31" s="209" t="s">
        <v>295</v>
      </c>
      <c r="P31" s="54"/>
      <c r="Q31" s="54"/>
    </row>
    <row r="32">
      <c r="A32" s="49"/>
      <c r="B32" s="235" t="s">
        <v>356</v>
      </c>
      <c r="C32" s="212"/>
      <c r="D32" s="213" t="s">
        <v>375</v>
      </c>
      <c r="E32" s="212"/>
      <c r="F32" s="235" t="s">
        <v>356</v>
      </c>
      <c r="G32" s="212"/>
      <c r="H32" s="213" t="s">
        <v>299</v>
      </c>
      <c r="I32" s="212"/>
      <c r="J32" s="213" t="s">
        <v>300</v>
      </c>
      <c r="K32" s="212"/>
      <c r="L32" s="213" t="s">
        <v>374</v>
      </c>
      <c r="M32" s="212"/>
      <c r="N32" s="213" t="s">
        <v>300</v>
      </c>
      <c r="O32" s="212"/>
      <c r="P32" s="206">
        <f>SUM(B31,D31,F31,H31,J31,L31,N31)</f>
        <v>35</v>
      </c>
      <c r="Q32" s="234"/>
    </row>
    <row r="33">
      <c r="A33" s="49"/>
      <c r="B33" s="209" t="s">
        <v>302</v>
      </c>
      <c r="C33" s="209" t="s">
        <v>303</v>
      </c>
      <c r="D33" s="209" t="s">
        <v>302</v>
      </c>
      <c r="E33" s="209" t="s">
        <v>303</v>
      </c>
      <c r="F33" s="209" t="s">
        <v>302</v>
      </c>
      <c r="G33" s="209" t="s">
        <v>303</v>
      </c>
      <c r="H33" s="209" t="s">
        <v>302</v>
      </c>
      <c r="I33" s="209" t="s">
        <v>303</v>
      </c>
      <c r="J33" s="209" t="s">
        <v>302</v>
      </c>
      <c r="K33" s="209" t="s">
        <v>303</v>
      </c>
      <c r="L33" s="209" t="s">
        <v>302</v>
      </c>
      <c r="M33" s="209" t="s">
        <v>303</v>
      </c>
      <c r="N33" s="209" t="s">
        <v>302</v>
      </c>
      <c r="O33" s="209" t="s">
        <v>303</v>
      </c>
      <c r="P33" s="49"/>
      <c r="Q33" s="49"/>
    </row>
    <row r="34">
      <c r="A34" s="49"/>
      <c r="B34" s="214"/>
      <c r="C34" s="214"/>
      <c r="D34" s="214"/>
      <c r="E34" s="214"/>
      <c r="F34" s="214"/>
      <c r="G34" s="214"/>
      <c r="H34" s="214"/>
      <c r="I34" s="214"/>
      <c r="J34" s="214"/>
      <c r="K34" s="214"/>
      <c r="L34" s="214"/>
      <c r="M34" s="215"/>
      <c r="N34" s="214"/>
      <c r="O34" s="214"/>
      <c r="P34" s="3"/>
      <c r="Q34" s="3"/>
    </row>
    <row r="35">
      <c r="A35" s="216" t="s">
        <v>304</v>
      </c>
      <c r="B35" s="217" t="s">
        <v>305</v>
      </c>
      <c r="C35" s="24"/>
      <c r="D35" s="217" t="s">
        <v>305</v>
      </c>
      <c r="E35" s="24"/>
      <c r="F35" s="217" t="s">
        <v>305</v>
      </c>
      <c r="G35" s="24"/>
      <c r="H35" s="217" t="s">
        <v>305</v>
      </c>
      <c r="I35" s="24"/>
      <c r="J35" s="217" t="s">
        <v>305</v>
      </c>
      <c r="K35" s="24"/>
      <c r="L35" s="217" t="s">
        <v>305</v>
      </c>
      <c r="M35" s="24"/>
      <c r="N35" s="217" t="s">
        <v>305</v>
      </c>
      <c r="O35" s="24"/>
      <c r="P35" s="218" t="s">
        <v>306</v>
      </c>
      <c r="Q35" s="24"/>
    </row>
    <row r="36">
      <c r="A36" s="49"/>
      <c r="B36" s="219"/>
      <c r="C36" s="24"/>
      <c r="D36" s="219"/>
      <c r="E36" s="24"/>
      <c r="F36" s="219"/>
      <c r="G36" s="24"/>
      <c r="H36" s="219"/>
      <c r="I36" s="24"/>
      <c r="J36" s="219"/>
      <c r="K36" s="24"/>
      <c r="L36" s="219"/>
      <c r="M36" s="24"/>
      <c r="N36" s="219"/>
      <c r="O36" s="24"/>
      <c r="P36" s="219"/>
      <c r="Q36" s="24"/>
    </row>
    <row r="37">
      <c r="A37" s="49"/>
      <c r="B37" s="220" t="s">
        <v>307</v>
      </c>
      <c r="C37" s="221" t="b">
        <v>0</v>
      </c>
      <c r="D37" s="220" t="s">
        <v>307</v>
      </c>
      <c r="E37" s="223" t="b">
        <v>0</v>
      </c>
      <c r="F37" s="220" t="s">
        <v>307</v>
      </c>
      <c r="G37" s="223" t="b">
        <v>0</v>
      </c>
      <c r="H37" s="220" t="s">
        <v>307</v>
      </c>
      <c r="I37" s="223" t="b">
        <v>0</v>
      </c>
      <c r="J37" s="220" t="s">
        <v>307</v>
      </c>
      <c r="K37" s="223" t="b">
        <v>0</v>
      </c>
      <c r="L37" s="220" t="s">
        <v>307</v>
      </c>
      <c r="M37" s="223" t="b">
        <v>0</v>
      </c>
      <c r="N37" s="220" t="s">
        <v>307</v>
      </c>
      <c r="O37" s="223" t="b">
        <v>0</v>
      </c>
      <c r="P37" s="224">
        <f t="shared" ref="P37:P38" si="3">COUNTIF(B37:O37,True)/COUNTA(B37:O37)%/50</f>
        <v>0</v>
      </c>
      <c r="Q37" s="225" t="s">
        <v>308</v>
      </c>
    </row>
    <row r="38">
      <c r="A38" s="49"/>
      <c r="B38" s="220" t="s">
        <v>309</v>
      </c>
      <c r="C38" s="221" t="b">
        <v>0</v>
      </c>
      <c r="D38" s="220" t="s">
        <v>309</v>
      </c>
      <c r="E38" s="221" t="b">
        <v>0</v>
      </c>
      <c r="F38" s="220" t="s">
        <v>309</v>
      </c>
      <c r="G38" s="223" t="b">
        <v>0</v>
      </c>
      <c r="H38" s="220" t="s">
        <v>309</v>
      </c>
      <c r="I38" s="223" t="b">
        <v>0</v>
      </c>
      <c r="J38" s="220" t="s">
        <v>309</v>
      </c>
      <c r="K38" s="223" t="b">
        <v>0</v>
      </c>
      <c r="L38" s="220" t="s">
        <v>309</v>
      </c>
      <c r="M38" s="223" t="b">
        <v>0</v>
      </c>
      <c r="N38" s="220" t="s">
        <v>309</v>
      </c>
      <c r="O38" s="223" t="b">
        <v>0</v>
      </c>
      <c r="P38" s="224">
        <f t="shared" si="3"/>
        <v>0</v>
      </c>
      <c r="Q38" s="3"/>
    </row>
    <row r="39">
      <c r="A39" s="49"/>
      <c r="B39" s="226" t="s">
        <v>310</v>
      </c>
      <c r="C39" s="227"/>
      <c r="D39" s="226" t="s">
        <v>310</v>
      </c>
      <c r="E39" s="227"/>
      <c r="F39" s="226" t="s">
        <v>310</v>
      </c>
      <c r="G39" s="227"/>
      <c r="H39" s="226" t="s">
        <v>310</v>
      </c>
      <c r="I39" s="227"/>
      <c r="J39" s="226" t="s">
        <v>310</v>
      </c>
      <c r="K39" s="227"/>
      <c r="L39" s="226" t="s">
        <v>310</v>
      </c>
      <c r="M39" s="227"/>
      <c r="N39" s="226" t="s">
        <v>310</v>
      </c>
      <c r="O39" s="227"/>
      <c r="P39" s="228">
        <f>COUNTIF(B39:O39,"Yes")</f>
        <v>0</v>
      </c>
      <c r="Q39" s="229" t="s">
        <v>311</v>
      </c>
    </row>
    <row r="40">
      <c r="A40" s="3"/>
      <c r="B40" s="230" t="s">
        <v>312</v>
      </c>
      <c r="C40" s="231"/>
      <c r="D40" s="230" t="s">
        <v>312</v>
      </c>
      <c r="E40" s="231"/>
      <c r="F40" s="230" t="s">
        <v>312</v>
      </c>
      <c r="G40" s="231"/>
      <c r="H40" s="230" t="s">
        <v>312</v>
      </c>
      <c r="I40" s="231"/>
      <c r="J40" s="230" t="s">
        <v>312</v>
      </c>
      <c r="K40" s="231"/>
      <c r="L40" s="230" t="s">
        <v>312</v>
      </c>
      <c r="M40" s="231"/>
      <c r="N40" s="230" t="s">
        <v>312</v>
      </c>
      <c r="O40" s="231"/>
      <c r="P40" s="232">
        <f>SUM(C40,E40,G40,I40,K40,M40,O40)/7</f>
        <v>0</v>
      </c>
      <c r="Q40" s="230" t="s">
        <v>313</v>
      </c>
    </row>
    <row r="41" ht="10.5" customHeight="1">
      <c r="A41" s="233"/>
      <c r="B41" s="55"/>
      <c r="C41" s="55"/>
      <c r="D41" s="55"/>
      <c r="E41" s="55"/>
      <c r="F41" s="55"/>
      <c r="G41" s="55"/>
      <c r="H41" s="55"/>
      <c r="I41" s="55"/>
      <c r="J41" s="55"/>
      <c r="K41" s="55"/>
      <c r="L41" s="55"/>
      <c r="M41" s="55"/>
      <c r="N41" s="55"/>
      <c r="O41" s="55"/>
      <c r="P41" s="55"/>
      <c r="Q41" s="54"/>
    </row>
    <row r="42">
      <c r="A42" s="204" t="s">
        <v>316</v>
      </c>
      <c r="B42" s="240">
        <v>46167.0</v>
      </c>
      <c r="C42" s="24"/>
      <c r="D42" s="240">
        <v>46168.0</v>
      </c>
      <c r="E42" s="24"/>
      <c r="F42" s="240">
        <v>46169.0</v>
      </c>
      <c r="G42" s="24"/>
      <c r="H42" s="240">
        <v>46170.0</v>
      </c>
      <c r="I42" s="24"/>
      <c r="J42" s="240">
        <v>46171.0</v>
      </c>
      <c r="K42" s="24"/>
      <c r="L42" s="240">
        <v>46172.0</v>
      </c>
      <c r="M42" s="24"/>
      <c r="N42" s="240">
        <v>46173.0</v>
      </c>
      <c r="O42" s="24"/>
      <c r="P42" s="202" t="s">
        <v>287</v>
      </c>
      <c r="Q42" s="202" t="s">
        <v>288</v>
      </c>
    </row>
    <row r="43">
      <c r="A43" s="49"/>
      <c r="B43" s="208">
        <v>3.0</v>
      </c>
      <c r="C43" s="209" t="s">
        <v>295</v>
      </c>
      <c r="D43" s="210">
        <v>9.0</v>
      </c>
      <c r="E43" s="209" t="s">
        <v>295</v>
      </c>
      <c r="F43" s="208">
        <v>3.0</v>
      </c>
      <c r="G43" s="209" t="s">
        <v>295</v>
      </c>
      <c r="H43" s="210">
        <v>5.0</v>
      </c>
      <c r="I43" s="209" t="s">
        <v>295</v>
      </c>
      <c r="J43" s="210">
        <v>0.0</v>
      </c>
      <c r="K43" s="209" t="s">
        <v>295</v>
      </c>
      <c r="L43" s="210">
        <v>10.0</v>
      </c>
      <c r="M43" s="209" t="s">
        <v>295</v>
      </c>
      <c r="N43" s="210">
        <v>0.0</v>
      </c>
      <c r="O43" s="209" t="s">
        <v>295</v>
      </c>
      <c r="P43" s="54"/>
      <c r="Q43" s="54"/>
    </row>
    <row r="44">
      <c r="A44" s="49"/>
      <c r="B44" s="235" t="s">
        <v>356</v>
      </c>
      <c r="C44" s="212"/>
      <c r="D44" s="213" t="s">
        <v>376</v>
      </c>
      <c r="E44" s="212"/>
      <c r="F44" s="235" t="s">
        <v>356</v>
      </c>
      <c r="G44" s="212"/>
      <c r="H44" s="213" t="s">
        <v>377</v>
      </c>
      <c r="I44" s="212"/>
      <c r="J44" s="213" t="s">
        <v>300</v>
      </c>
      <c r="K44" s="212"/>
      <c r="L44" s="213" t="s">
        <v>378</v>
      </c>
      <c r="M44" s="212"/>
      <c r="N44" s="213" t="s">
        <v>300</v>
      </c>
      <c r="O44" s="212"/>
      <c r="P44" s="206">
        <f>SUM(B43,D43,F43,H43,J43,L43,N43)</f>
        <v>30</v>
      </c>
      <c r="Q44" s="234"/>
    </row>
    <row r="45">
      <c r="A45" s="49"/>
      <c r="B45" s="209" t="s">
        <v>302</v>
      </c>
      <c r="C45" s="209" t="s">
        <v>303</v>
      </c>
      <c r="D45" s="209" t="s">
        <v>302</v>
      </c>
      <c r="E45" s="209" t="s">
        <v>303</v>
      </c>
      <c r="F45" s="209" t="s">
        <v>302</v>
      </c>
      <c r="G45" s="209" t="s">
        <v>303</v>
      </c>
      <c r="H45" s="209" t="s">
        <v>302</v>
      </c>
      <c r="I45" s="209" t="s">
        <v>303</v>
      </c>
      <c r="J45" s="209" t="s">
        <v>302</v>
      </c>
      <c r="K45" s="209" t="s">
        <v>303</v>
      </c>
      <c r="L45" s="209" t="s">
        <v>302</v>
      </c>
      <c r="M45" s="209" t="s">
        <v>303</v>
      </c>
      <c r="N45" s="209" t="s">
        <v>302</v>
      </c>
      <c r="O45" s="209" t="s">
        <v>303</v>
      </c>
      <c r="P45" s="49"/>
      <c r="Q45" s="49"/>
    </row>
    <row r="46">
      <c r="A46" s="49"/>
      <c r="B46" s="214"/>
      <c r="C46" s="214"/>
      <c r="D46" s="214"/>
      <c r="E46" s="214"/>
      <c r="F46" s="214"/>
      <c r="G46" s="214"/>
      <c r="H46" s="214"/>
      <c r="I46" s="214"/>
      <c r="J46" s="214"/>
      <c r="K46" s="214"/>
      <c r="L46" s="214"/>
      <c r="M46" s="215"/>
      <c r="N46" s="214"/>
      <c r="O46" s="214"/>
      <c r="P46" s="3"/>
      <c r="Q46" s="3"/>
    </row>
    <row r="47">
      <c r="A47" s="216" t="s">
        <v>332</v>
      </c>
      <c r="B47" s="217" t="s">
        <v>305</v>
      </c>
      <c r="C47" s="24"/>
      <c r="D47" s="217" t="s">
        <v>305</v>
      </c>
      <c r="E47" s="24"/>
      <c r="F47" s="217" t="s">
        <v>305</v>
      </c>
      <c r="G47" s="24"/>
      <c r="H47" s="217" t="s">
        <v>305</v>
      </c>
      <c r="I47" s="24"/>
      <c r="J47" s="217" t="s">
        <v>305</v>
      </c>
      <c r="K47" s="24"/>
      <c r="L47" s="217" t="s">
        <v>305</v>
      </c>
      <c r="M47" s="24"/>
      <c r="N47" s="217" t="s">
        <v>305</v>
      </c>
      <c r="O47" s="24"/>
      <c r="P47" s="218" t="s">
        <v>306</v>
      </c>
      <c r="Q47" s="24"/>
    </row>
    <row r="48">
      <c r="A48" s="49"/>
      <c r="B48" s="219"/>
      <c r="C48" s="24"/>
      <c r="D48" s="219"/>
      <c r="E48" s="24"/>
      <c r="F48" s="219"/>
      <c r="G48" s="24"/>
      <c r="H48" s="219"/>
      <c r="I48" s="24"/>
      <c r="J48" s="219"/>
      <c r="K48" s="24"/>
      <c r="L48" s="219"/>
      <c r="M48" s="24"/>
      <c r="N48" s="219"/>
      <c r="O48" s="24"/>
      <c r="P48" s="219"/>
      <c r="Q48" s="24"/>
    </row>
    <row r="49">
      <c r="A49" s="49"/>
      <c r="B49" s="220" t="s">
        <v>307</v>
      </c>
      <c r="C49" s="221" t="b">
        <v>0</v>
      </c>
      <c r="D49" s="220" t="s">
        <v>307</v>
      </c>
      <c r="E49" s="223" t="b">
        <v>0</v>
      </c>
      <c r="F49" s="220" t="s">
        <v>307</v>
      </c>
      <c r="G49" s="221" t="b">
        <v>0</v>
      </c>
      <c r="H49" s="220" t="s">
        <v>307</v>
      </c>
      <c r="I49" s="223" t="b">
        <v>0</v>
      </c>
      <c r="J49" s="220" t="s">
        <v>307</v>
      </c>
      <c r="K49" s="223" t="b">
        <v>0</v>
      </c>
      <c r="L49" s="220" t="s">
        <v>307</v>
      </c>
      <c r="M49" s="223" t="b">
        <v>0</v>
      </c>
      <c r="N49" s="220" t="s">
        <v>307</v>
      </c>
      <c r="O49" s="223" t="b">
        <v>0</v>
      </c>
      <c r="P49" s="224">
        <f t="shared" ref="P49:P50" si="4">COUNTIF(B49:O49,True)/COUNTA(B49:O49)%/50</f>
        <v>0</v>
      </c>
      <c r="Q49" s="225" t="s">
        <v>308</v>
      </c>
    </row>
    <row r="50">
      <c r="A50" s="49"/>
      <c r="B50" s="220" t="s">
        <v>309</v>
      </c>
      <c r="C50" s="221" t="b">
        <v>0</v>
      </c>
      <c r="D50" s="220" t="s">
        <v>309</v>
      </c>
      <c r="E50" s="221" t="b">
        <v>0</v>
      </c>
      <c r="F50" s="220" t="s">
        <v>309</v>
      </c>
      <c r="G50" s="223" t="b">
        <v>0</v>
      </c>
      <c r="H50" s="220" t="s">
        <v>309</v>
      </c>
      <c r="I50" s="223" t="b">
        <v>0</v>
      </c>
      <c r="J50" s="220" t="s">
        <v>309</v>
      </c>
      <c r="K50" s="223" t="b">
        <v>0</v>
      </c>
      <c r="L50" s="220" t="s">
        <v>309</v>
      </c>
      <c r="M50" s="223" t="b">
        <v>0</v>
      </c>
      <c r="N50" s="220" t="s">
        <v>309</v>
      </c>
      <c r="O50" s="223" t="b">
        <v>0</v>
      </c>
      <c r="P50" s="224">
        <f t="shared" si="4"/>
        <v>0</v>
      </c>
      <c r="Q50" s="3"/>
    </row>
    <row r="51">
      <c r="A51" s="49"/>
      <c r="B51" s="226" t="s">
        <v>310</v>
      </c>
      <c r="C51" s="227"/>
      <c r="D51" s="226" t="s">
        <v>310</v>
      </c>
      <c r="E51" s="227"/>
      <c r="F51" s="226" t="s">
        <v>310</v>
      </c>
      <c r="G51" s="227"/>
      <c r="H51" s="226" t="s">
        <v>310</v>
      </c>
      <c r="I51" s="227"/>
      <c r="J51" s="226" t="s">
        <v>310</v>
      </c>
      <c r="K51" s="227"/>
      <c r="L51" s="226" t="s">
        <v>310</v>
      </c>
      <c r="M51" s="227"/>
      <c r="N51" s="226" t="s">
        <v>310</v>
      </c>
      <c r="O51" s="227"/>
      <c r="P51" s="228">
        <f>COUNTIF(B51:O51,"Yes")</f>
        <v>0</v>
      </c>
      <c r="Q51" s="229" t="s">
        <v>311</v>
      </c>
    </row>
    <row r="52">
      <c r="A52" s="3"/>
      <c r="B52" s="230" t="s">
        <v>312</v>
      </c>
      <c r="C52" s="231"/>
      <c r="D52" s="230" t="s">
        <v>312</v>
      </c>
      <c r="E52" s="231"/>
      <c r="F52" s="230" t="s">
        <v>312</v>
      </c>
      <c r="G52" s="231"/>
      <c r="H52" s="230" t="s">
        <v>312</v>
      </c>
      <c r="I52" s="231"/>
      <c r="J52" s="230" t="s">
        <v>312</v>
      </c>
      <c r="K52" s="231"/>
      <c r="L52" s="230" t="s">
        <v>312</v>
      </c>
      <c r="M52" s="231"/>
      <c r="N52" s="230" t="s">
        <v>312</v>
      </c>
      <c r="O52" s="231"/>
      <c r="P52" s="232">
        <f>SUM(C52,E52,G52,I52,K52,M52,O52)/7</f>
        <v>0</v>
      </c>
      <c r="Q52" s="230" t="s">
        <v>313</v>
      </c>
    </row>
  </sheetData>
  <mergeCells count="145">
    <mergeCell ref="B18:C18"/>
    <mergeCell ref="B23:C23"/>
    <mergeCell ref="A47:A52"/>
    <mergeCell ref="B47:C47"/>
    <mergeCell ref="D47:E47"/>
    <mergeCell ref="B48:C48"/>
    <mergeCell ref="D48:E48"/>
    <mergeCell ref="A23:A28"/>
    <mergeCell ref="B24:C24"/>
    <mergeCell ref="A30:A34"/>
    <mergeCell ref="B30:C30"/>
    <mergeCell ref="A35:A40"/>
    <mergeCell ref="B35:C35"/>
    <mergeCell ref="D35:E35"/>
    <mergeCell ref="N18:O18"/>
    <mergeCell ref="P18:P19"/>
    <mergeCell ref="Q18:Q19"/>
    <mergeCell ref="P20:P22"/>
    <mergeCell ref="Q20:Q22"/>
    <mergeCell ref="H23:I23"/>
    <mergeCell ref="J23:K23"/>
    <mergeCell ref="N23:O23"/>
    <mergeCell ref="P23:Q23"/>
    <mergeCell ref="A18:A22"/>
    <mergeCell ref="D18:E18"/>
    <mergeCell ref="F18:G18"/>
    <mergeCell ref="H18:I18"/>
    <mergeCell ref="J18:K18"/>
    <mergeCell ref="L18:M18"/>
    <mergeCell ref="L23:M23"/>
    <mergeCell ref="D23:E23"/>
    <mergeCell ref="F23:G23"/>
    <mergeCell ref="D24:E24"/>
    <mergeCell ref="F24:G24"/>
    <mergeCell ref="H24:I24"/>
    <mergeCell ref="J24:K24"/>
    <mergeCell ref="L24:M24"/>
    <mergeCell ref="N30:O30"/>
    <mergeCell ref="A41:Q41"/>
    <mergeCell ref="N24:O24"/>
    <mergeCell ref="P24:Q24"/>
    <mergeCell ref="Q25:Q26"/>
    <mergeCell ref="A29:Q29"/>
    <mergeCell ref="D30:E30"/>
    <mergeCell ref="F30:G30"/>
    <mergeCell ref="H30:I30"/>
    <mergeCell ref="H48:I48"/>
    <mergeCell ref="J48:K48"/>
    <mergeCell ref="P48:Q48"/>
    <mergeCell ref="Q49:Q50"/>
    <mergeCell ref="F4:G4"/>
    <mergeCell ref="H4:I4"/>
    <mergeCell ref="D5:E5"/>
    <mergeCell ref="F5:G5"/>
    <mergeCell ref="D6:E6"/>
    <mergeCell ref="F6:G6"/>
    <mergeCell ref="D11:E11"/>
    <mergeCell ref="F11:G11"/>
    <mergeCell ref="H11:I11"/>
    <mergeCell ref="N12:O12"/>
    <mergeCell ref="P12:Q12"/>
    <mergeCell ref="J11:K11"/>
    <mergeCell ref="L11:M11"/>
    <mergeCell ref="N11:O11"/>
    <mergeCell ref="P11:Q11"/>
    <mergeCell ref="D12:E12"/>
    <mergeCell ref="F12:G12"/>
    <mergeCell ref="H12:I12"/>
    <mergeCell ref="D2:E3"/>
    <mergeCell ref="B4:C4"/>
    <mergeCell ref="D4:E4"/>
    <mergeCell ref="J4:K4"/>
    <mergeCell ref="L4:M4"/>
    <mergeCell ref="N4:O4"/>
    <mergeCell ref="P4:P5"/>
    <mergeCell ref="N5:O5"/>
    <mergeCell ref="N6:O6"/>
    <mergeCell ref="P6:P10"/>
    <mergeCell ref="Q6:Q10"/>
    <mergeCell ref="Q13:Q14"/>
    <mergeCell ref="H5:I5"/>
    <mergeCell ref="J5:K5"/>
    <mergeCell ref="H6:I6"/>
    <mergeCell ref="J6:K6"/>
    <mergeCell ref="L6:M6"/>
    <mergeCell ref="B1:G1"/>
    <mergeCell ref="H1:I3"/>
    <mergeCell ref="J1:O3"/>
    <mergeCell ref="P1:Q3"/>
    <mergeCell ref="F2:G2"/>
    <mergeCell ref="F3:G3"/>
    <mergeCell ref="Q4:Q5"/>
    <mergeCell ref="L5:M5"/>
    <mergeCell ref="J12:K12"/>
    <mergeCell ref="L12:M12"/>
    <mergeCell ref="A17:Q17"/>
    <mergeCell ref="A1:A5"/>
    <mergeCell ref="B5:C5"/>
    <mergeCell ref="A6:A10"/>
    <mergeCell ref="B6:C6"/>
    <mergeCell ref="A11:A16"/>
    <mergeCell ref="B11:C11"/>
    <mergeCell ref="B12:C12"/>
    <mergeCell ref="H35:I35"/>
    <mergeCell ref="J35:K35"/>
    <mergeCell ref="L35:M35"/>
    <mergeCell ref="N35:O35"/>
    <mergeCell ref="J30:K30"/>
    <mergeCell ref="L30:M30"/>
    <mergeCell ref="P30:P31"/>
    <mergeCell ref="Q30:Q31"/>
    <mergeCell ref="P32:P34"/>
    <mergeCell ref="Q32:Q34"/>
    <mergeCell ref="F35:G35"/>
    <mergeCell ref="P35:Q35"/>
    <mergeCell ref="P36:Q36"/>
    <mergeCell ref="Q37:Q38"/>
    <mergeCell ref="B36:C36"/>
    <mergeCell ref="D36:E36"/>
    <mergeCell ref="F36:G36"/>
    <mergeCell ref="H36:I36"/>
    <mergeCell ref="J36:K36"/>
    <mergeCell ref="L36:M36"/>
    <mergeCell ref="N36:O36"/>
    <mergeCell ref="N42:O42"/>
    <mergeCell ref="P42:P43"/>
    <mergeCell ref="Q42:Q43"/>
    <mergeCell ref="P44:P46"/>
    <mergeCell ref="Q44:Q46"/>
    <mergeCell ref="A42:A46"/>
    <mergeCell ref="B42:C42"/>
    <mergeCell ref="D42:E42"/>
    <mergeCell ref="F42:G42"/>
    <mergeCell ref="H42:I42"/>
    <mergeCell ref="J42:K42"/>
    <mergeCell ref="L42:M42"/>
    <mergeCell ref="L48:M48"/>
    <mergeCell ref="N48:O48"/>
    <mergeCell ref="F47:G47"/>
    <mergeCell ref="H47:I47"/>
    <mergeCell ref="J47:K47"/>
    <mergeCell ref="L47:M47"/>
    <mergeCell ref="N47:O47"/>
    <mergeCell ref="P47:Q47"/>
    <mergeCell ref="F48:G48"/>
  </mergeCells>
  <dataValidations>
    <dataValidation type="list" allowBlank="1" showErrorMessage="1" sqref="A11 A23 A35 A47">
      <formula1>"Don't Push/ Strict Paces,Focus on Recovery Don't Push,Focus HEAVILY on Rolling/ Stretching/ Recovery,Fuel Every Quality Session/ TRACK and see what works/ doesn't,Prep/Fuel Like Race Week,If you feel good; close last 10-20% of hard/ long workouts faster,S"&amp;"tay on Top of the Little Things / Be Ready to Push,Focus More on Strength,Last EASY (50%) Strength: Sat or Sun,Schedule Race Prep Call,Communicate Daily w/ Coach"</formula1>
    </dataValidation>
    <dataValidation type="list" allowBlank="1" showErrorMessage="1" sqref="C16 E16 G16 I16 K16 M16 O16 C28 E28 G28 I28 K28 M28 O28 C40 E40 G40 I40 K40 M40 O40 C52 E52 G52 I52 K52 M52 O52">
      <formula1>"1,2,3,4,5,6,7,8,9,10"</formula1>
    </dataValidation>
    <dataValidation type="list" allowBlank="1" showErrorMessage="1" sqref="A6 A18 A30 A42">
      <formula1>"REST WEEK,BUILD WEEK,PUSH WEEK,PEAK WEEK,RACE WEEK,INJURED,ILLNESS,RETURN WEEK,CROSS TRAINING,TRAVEL/ LIMITED WEEK"</formula1>
    </dataValidation>
    <dataValidation type="list" allowBlank="1" showErrorMessage="1" sqref="C15 E15 G15 I15 K15 M15 O15 C27 E27 G27 I27 K27 M27 O27 C39 E39 G39 I39 K39 M39 O39 C51 E51 G51 I51 K51 M51 O51">
      <formula1>"Yes,No"</formula1>
    </dataValidation>
  </dataValidations>
  <hyperlinks>
    <hyperlink r:id="rId1" ref="D2"/>
    <hyperlink r:id="rId2" ref="F2"/>
    <hyperlink r:id="rId3" ref="F3"/>
  </hyperlinks>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2" max="2" width="18.63"/>
    <col customWidth="1" min="4" max="4" width="18.25"/>
    <col customWidth="1" min="5" max="5" width="14.88"/>
    <col customWidth="1" min="6" max="6" width="18.13"/>
    <col customWidth="1" min="8" max="8" width="18.38"/>
    <col customWidth="1" min="10" max="10" width="19.25"/>
    <col customWidth="1" min="12" max="12" width="19.25"/>
    <col customWidth="1" min="14" max="14" width="18.88"/>
    <col customWidth="1" min="17" max="17" width="15.25"/>
  </cols>
  <sheetData>
    <row r="1">
      <c r="A1" s="238" t="str">
        <f>'May '!A1</f>
        <v>STRAVA</v>
      </c>
      <c r="B1" s="190" t="s">
        <v>379</v>
      </c>
      <c r="C1" s="23"/>
      <c r="D1" s="23"/>
      <c r="E1" s="23"/>
      <c r="F1" s="23"/>
      <c r="G1" s="23"/>
      <c r="H1" s="191" t="s">
        <v>272</v>
      </c>
      <c r="I1" s="48"/>
      <c r="J1" s="192"/>
      <c r="K1" s="48"/>
      <c r="L1" s="48"/>
      <c r="M1" s="48"/>
      <c r="N1" s="48"/>
      <c r="O1" s="48"/>
      <c r="P1" s="193"/>
      <c r="Q1" s="42"/>
    </row>
    <row r="2">
      <c r="A2" s="49"/>
      <c r="B2" s="194" t="s">
        <v>274</v>
      </c>
      <c r="C2" s="237" t="str">
        <f>'May '!C2</f>
        <v>1.5 mile</v>
      </c>
      <c r="D2" s="196" t="s">
        <v>276</v>
      </c>
      <c r="E2" s="48"/>
      <c r="F2" s="197" t="s">
        <v>277</v>
      </c>
      <c r="G2" s="24"/>
      <c r="H2" s="50"/>
      <c r="P2" s="50"/>
      <c r="Q2" s="51"/>
    </row>
    <row r="3">
      <c r="A3" s="49"/>
      <c r="B3" s="198" t="s">
        <v>278</v>
      </c>
      <c r="C3" s="237" t="str">
        <f>'May '!C3</f>
        <v>1.5 mile</v>
      </c>
      <c r="D3" s="50"/>
      <c r="F3" s="199" t="s">
        <v>279</v>
      </c>
      <c r="G3" s="24"/>
      <c r="H3" s="50"/>
      <c r="P3" s="53"/>
      <c r="Q3" s="54"/>
    </row>
    <row r="4">
      <c r="A4" s="49"/>
      <c r="B4" s="200" t="s">
        <v>280</v>
      </c>
      <c r="C4" s="24"/>
      <c r="D4" s="201" t="s">
        <v>281</v>
      </c>
      <c r="E4" s="24"/>
      <c r="F4" s="201" t="s">
        <v>282</v>
      </c>
      <c r="G4" s="24"/>
      <c r="H4" s="201" t="s">
        <v>283</v>
      </c>
      <c r="I4" s="24"/>
      <c r="J4" s="201" t="s">
        <v>284</v>
      </c>
      <c r="K4" s="24"/>
      <c r="L4" s="201" t="s">
        <v>285</v>
      </c>
      <c r="M4" s="24"/>
      <c r="N4" s="201" t="s">
        <v>286</v>
      </c>
      <c r="O4" s="24"/>
      <c r="P4" s="202" t="s">
        <v>287</v>
      </c>
      <c r="Q4" s="202" t="s">
        <v>288</v>
      </c>
    </row>
    <row r="5">
      <c r="A5" s="3"/>
      <c r="B5" s="203" t="str">
        <f>'May '!B5</f>
        <v>EASY RUN</v>
      </c>
      <c r="C5" s="24"/>
      <c r="D5" s="203" t="str">
        <f>'May '!D5</f>
        <v>HARD WORKOUT
&amp; STRENGTH</v>
      </c>
      <c r="E5" s="24"/>
      <c r="F5" s="203" t="str">
        <f>'May '!F5</f>
        <v>EASY RUN</v>
      </c>
      <c r="G5" s="24"/>
      <c r="H5" s="203" t="str">
        <f>'May '!H5</f>
        <v>HARD WORKOUT
&amp; STRENGTH</v>
      </c>
      <c r="I5" s="24"/>
      <c r="J5" s="203" t="str">
        <f>'May '!J5</f>
        <v>REST</v>
      </c>
      <c r="K5" s="24"/>
      <c r="L5" s="203" t="str">
        <f>'May '!L5</f>
        <v>LONG RUN</v>
      </c>
      <c r="M5" s="24"/>
      <c r="N5" s="239" t="str">
        <f>'May '!N5</f>
        <v>REST OR EASY RUN</v>
      </c>
      <c r="O5" s="24"/>
      <c r="P5" s="54"/>
      <c r="Q5" s="54"/>
    </row>
    <row r="6">
      <c r="A6" s="204"/>
      <c r="B6" s="240">
        <v>46174.0</v>
      </c>
      <c r="C6" s="24"/>
      <c r="D6" s="240">
        <v>46175.0</v>
      </c>
      <c r="E6" s="24"/>
      <c r="F6" s="240">
        <v>46176.0</v>
      </c>
      <c r="G6" s="24"/>
      <c r="H6" s="240">
        <v>46177.0</v>
      </c>
      <c r="I6" s="24"/>
      <c r="J6" s="240">
        <v>46178.0</v>
      </c>
      <c r="K6" s="24"/>
      <c r="L6" s="240">
        <v>46179.0</v>
      </c>
      <c r="M6" s="24"/>
      <c r="N6" s="240">
        <v>46180.0</v>
      </c>
      <c r="O6" s="24"/>
      <c r="P6" s="206">
        <f>SUM(B7,D7,F7,H7,J7,L7,N7)</f>
        <v>0</v>
      </c>
      <c r="Q6" s="207"/>
    </row>
    <row r="7">
      <c r="A7" s="49"/>
      <c r="B7" s="210"/>
      <c r="C7" s="209" t="s">
        <v>295</v>
      </c>
      <c r="D7" s="210"/>
      <c r="E7" s="209" t="s">
        <v>295</v>
      </c>
      <c r="F7" s="210"/>
      <c r="G7" s="209" t="s">
        <v>295</v>
      </c>
      <c r="H7" s="210"/>
      <c r="I7" s="209" t="s">
        <v>295</v>
      </c>
      <c r="J7" s="210"/>
      <c r="K7" s="209" t="s">
        <v>295</v>
      </c>
      <c r="L7" s="210"/>
      <c r="M7" s="209" t="s">
        <v>295</v>
      </c>
      <c r="N7" s="210"/>
      <c r="O7" s="209" t="s">
        <v>295</v>
      </c>
      <c r="P7" s="49"/>
      <c r="Q7" s="49"/>
    </row>
    <row r="8">
      <c r="A8" s="49"/>
      <c r="B8" s="213"/>
      <c r="C8" s="212"/>
      <c r="D8" s="213"/>
      <c r="E8" s="212"/>
      <c r="F8" s="213"/>
      <c r="G8" s="212"/>
      <c r="H8" s="213"/>
      <c r="I8" s="212"/>
      <c r="J8" s="213"/>
      <c r="K8" s="212"/>
      <c r="L8" s="213"/>
      <c r="M8" s="212"/>
      <c r="N8" s="213"/>
      <c r="O8" s="212"/>
      <c r="P8" s="49"/>
      <c r="Q8" s="49"/>
    </row>
    <row r="9">
      <c r="A9" s="49"/>
      <c r="B9" s="209" t="s">
        <v>302</v>
      </c>
      <c r="C9" s="209" t="s">
        <v>303</v>
      </c>
      <c r="D9" s="209" t="s">
        <v>302</v>
      </c>
      <c r="E9" s="209" t="s">
        <v>303</v>
      </c>
      <c r="F9" s="209" t="s">
        <v>302</v>
      </c>
      <c r="G9" s="209" t="s">
        <v>303</v>
      </c>
      <c r="H9" s="209" t="s">
        <v>302</v>
      </c>
      <c r="I9" s="209" t="s">
        <v>303</v>
      </c>
      <c r="J9" s="209" t="s">
        <v>302</v>
      </c>
      <c r="K9" s="209" t="s">
        <v>303</v>
      </c>
      <c r="L9" s="209" t="s">
        <v>302</v>
      </c>
      <c r="M9" s="209" t="s">
        <v>303</v>
      </c>
      <c r="N9" s="209" t="s">
        <v>302</v>
      </c>
      <c r="O9" s="209" t="s">
        <v>303</v>
      </c>
      <c r="P9" s="49"/>
      <c r="Q9" s="49"/>
    </row>
    <row r="10">
      <c r="A10" s="49"/>
      <c r="B10" s="214"/>
      <c r="C10" s="214"/>
      <c r="D10" s="214"/>
      <c r="E10" s="214"/>
      <c r="F10" s="214"/>
      <c r="G10" s="214"/>
      <c r="H10" s="214"/>
      <c r="I10" s="214"/>
      <c r="J10" s="214"/>
      <c r="K10" s="214"/>
      <c r="L10" s="214"/>
      <c r="M10" s="215"/>
      <c r="N10" s="214"/>
      <c r="O10" s="214"/>
      <c r="P10" s="3"/>
      <c r="Q10" s="3"/>
    </row>
    <row r="11">
      <c r="A11" s="216"/>
      <c r="B11" s="217" t="s">
        <v>305</v>
      </c>
      <c r="C11" s="24"/>
      <c r="D11" s="217" t="s">
        <v>305</v>
      </c>
      <c r="E11" s="24"/>
      <c r="F11" s="217" t="s">
        <v>305</v>
      </c>
      <c r="G11" s="24"/>
      <c r="H11" s="217" t="s">
        <v>305</v>
      </c>
      <c r="I11" s="24"/>
      <c r="J11" s="217" t="s">
        <v>305</v>
      </c>
      <c r="K11" s="24"/>
      <c r="L11" s="217" t="s">
        <v>305</v>
      </c>
      <c r="M11" s="24"/>
      <c r="N11" s="217" t="s">
        <v>305</v>
      </c>
      <c r="O11" s="24"/>
      <c r="P11" s="218" t="s">
        <v>306</v>
      </c>
      <c r="Q11" s="24"/>
    </row>
    <row r="12">
      <c r="A12" s="49"/>
      <c r="B12" s="219"/>
      <c r="C12" s="24"/>
      <c r="D12" s="219"/>
      <c r="E12" s="24"/>
      <c r="F12" s="219"/>
      <c r="G12" s="24"/>
      <c r="H12" s="219"/>
      <c r="I12" s="24"/>
      <c r="J12" s="219"/>
      <c r="K12" s="24"/>
      <c r="L12" s="219"/>
      <c r="M12" s="24"/>
      <c r="N12" s="219"/>
      <c r="O12" s="24"/>
      <c r="P12" s="219"/>
      <c r="Q12" s="24"/>
    </row>
    <row r="13">
      <c r="A13" s="49"/>
      <c r="B13" s="220" t="s">
        <v>307</v>
      </c>
      <c r="C13" s="221" t="b">
        <v>0</v>
      </c>
      <c r="D13" s="220" t="s">
        <v>307</v>
      </c>
      <c r="E13" s="223" t="b">
        <v>0</v>
      </c>
      <c r="F13" s="220" t="s">
        <v>307</v>
      </c>
      <c r="G13" s="223" t="b">
        <v>0</v>
      </c>
      <c r="H13" s="220" t="s">
        <v>307</v>
      </c>
      <c r="I13" s="223" t="b">
        <v>0</v>
      </c>
      <c r="J13" s="220" t="s">
        <v>307</v>
      </c>
      <c r="K13" s="223" t="b">
        <v>0</v>
      </c>
      <c r="L13" s="220" t="s">
        <v>307</v>
      </c>
      <c r="M13" s="223" t="b">
        <v>0</v>
      </c>
      <c r="N13" s="220" t="s">
        <v>307</v>
      </c>
      <c r="O13" s="223" t="b">
        <v>0</v>
      </c>
      <c r="P13" s="224">
        <f t="shared" ref="P13:P14" si="1">COUNTIF(B13:O13,True)/COUNTA(B13:O13)%/50</f>
        <v>0</v>
      </c>
      <c r="Q13" s="225" t="s">
        <v>308</v>
      </c>
    </row>
    <row r="14">
      <c r="A14" s="49"/>
      <c r="B14" s="220" t="s">
        <v>309</v>
      </c>
      <c r="C14" s="221" t="b">
        <v>0</v>
      </c>
      <c r="D14" s="220" t="s">
        <v>309</v>
      </c>
      <c r="E14" s="221" t="b">
        <v>0</v>
      </c>
      <c r="F14" s="220" t="s">
        <v>309</v>
      </c>
      <c r="G14" s="223" t="b">
        <v>0</v>
      </c>
      <c r="H14" s="220" t="s">
        <v>309</v>
      </c>
      <c r="I14" s="223" t="b">
        <v>0</v>
      </c>
      <c r="J14" s="220" t="s">
        <v>309</v>
      </c>
      <c r="K14" s="223" t="b">
        <v>0</v>
      </c>
      <c r="L14" s="220" t="s">
        <v>309</v>
      </c>
      <c r="M14" s="223" t="b">
        <v>0</v>
      </c>
      <c r="N14" s="220" t="s">
        <v>309</v>
      </c>
      <c r="O14" s="223" t="b">
        <v>0</v>
      </c>
      <c r="P14" s="224">
        <f t="shared" si="1"/>
        <v>0</v>
      </c>
      <c r="Q14" s="3"/>
    </row>
    <row r="15">
      <c r="A15" s="49"/>
      <c r="B15" s="226" t="s">
        <v>310</v>
      </c>
      <c r="C15" s="227"/>
      <c r="D15" s="226" t="s">
        <v>310</v>
      </c>
      <c r="E15" s="227"/>
      <c r="F15" s="226" t="s">
        <v>310</v>
      </c>
      <c r="G15" s="227"/>
      <c r="H15" s="226" t="s">
        <v>310</v>
      </c>
      <c r="I15" s="227"/>
      <c r="J15" s="226" t="s">
        <v>310</v>
      </c>
      <c r="K15" s="227"/>
      <c r="L15" s="226" t="s">
        <v>310</v>
      </c>
      <c r="M15" s="227"/>
      <c r="N15" s="226" t="s">
        <v>310</v>
      </c>
      <c r="O15" s="227"/>
      <c r="P15" s="228">
        <f>COUNTIF(B15:O15,"Yes")</f>
        <v>0</v>
      </c>
      <c r="Q15" s="229" t="s">
        <v>311</v>
      </c>
    </row>
    <row r="16">
      <c r="A16" s="3"/>
      <c r="B16" s="230" t="s">
        <v>312</v>
      </c>
      <c r="C16" s="231"/>
      <c r="D16" s="230" t="s">
        <v>312</v>
      </c>
      <c r="E16" s="231"/>
      <c r="F16" s="230" t="s">
        <v>312</v>
      </c>
      <c r="G16" s="231"/>
      <c r="H16" s="230" t="s">
        <v>312</v>
      </c>
      <c r="I16" s="231"/>
      <c r="J16" s="230" t="s">
        <v>312</v>
      </c>
      <c r="K16" s="231"/>
      <c r="L16" s="230" t="s">
        <v>312</v>
      </c>
      <c r="M16" s="231"/>
      <c r="N16" s="230" t="s">
        <v>312</v>
      </c>
      <c r="O16" s="231"/>
      <c r="P16" s="232">
        <f>SUM(C16,E16,G16,I16,K16,M16,O16)/7</f>
        <v>0</v>
      </c>
      <c r="Q16" s="230" t="s">
        <v>313</v>
      </c>
    </row>
    <row r="17" ht="10.5" customHeight="1">
      <c r="A17" s="233"/>
      <c r="B17" s="55"/>
      <c r="C17" s="55"/>
      <c r="D17" s="55"/>
      <c r="E17" s="55"/>
      <c r="F17" s="55"/>
      <c r="G17" s="55"/>
      <c r="H17" s="55"/>
      <c r="I17" s="55"/>
      <c r="J17" s="55"/>
      <c r="K17" s="55"/>
      <c r="L17" s="55"/>
      <c r="M17" s="55"/>
      <c r="N17" s="55"/>
      <c r="O17" s="55"/>
      <c r="P17" s="55"/>
      <c r="Q17" s="54"/>
    </row>
    <row r="18">
      <c r="A18" s="204"/>
      <c r="B18" s="240">
        <v>46181.0</v>
      </c>
      <c r="C18" s="24"/>
      <c r="D18" s="240">
        <v>46182.0</v>
      </c>
      <c r="E18" s="24"/>
      <c r="F18" s="240">
        <v>46183.0</v>
      </c>
      <c r="G18" s="24"/>
      <c r="H18" s="240">
        <v>46184.0</v>
      </c>
      <c r="I18" s="24"/>
      <c r="J18" s="240">
        <v>46185.0</v>
      </c>
      <c r="K18" s="24"/>
      <c r="L18" s="240">
        <v>46186.0</v>
      </c>
      <c r="M18" s="24"/>
      <c r="N18" s="240">
        <v>46187.0</v>
      </c>
      <c r="O18" s="24"/>
      <c r="P18" s="202" t="s">
        <v>287</v>
      </c>
      <c r="Q18" s="202" t="s">
        <v>288</v>
      </c>
    </row>
    <row r="19">
      <c r="A19" s="49"/>
      <c r="B19" s="210"/>
      <c r="C19" s="209" t="s">
        <v>295</v>
      </c>
      <c r="D19" s="210"/>
      <c r="E19" s="209" t="s">
        <v>295</v>
      </c>
      <c r="F19" s="210"/>
      <c r="G19" s="209" t="s">
        <v>295</v>
      </c>
      <c r="H19" s="210"/>
      <c r="I19" s="209" t="s">
        <v>295</v>
      </c>
      <c r="J19" s="210"/>
      <c r="K19" s="209" t="s">
        <v>295</v>
      </c>
      <c r="L19" s="210"/>
      <c r="M19" s="209" t="s">
        <v>295</v>
      </c>
      <c r="N19" s="210"/>
      <c r="O19" s="209" t="s">
        <v>295</v>
      </c>
      <c r="P19" s="54"/>
      <c r="Q19" s="54"/>
    </row>
    <row r="20">
      <c r="A20" s="49"/>
      <c r="B20" s="213"/>
      <c r="C20" s="212"/>
      <c r="D20" s="213"/>
      <c r="E20" s="212"/>
      <c r="F20" s="213"/>
      <c r="G20" s="212"/>
      <c r="H20" s="213"/>
      <c r="I20" s="212"/>
      <c r="J20" s="213"/>
      <c r="K20" s="212"/>
      <c r="L20" s="213"/>
      <c r="M20" s="212"/>
      <c r="N20" s="213"/>
      <c r="O20" s="212"/>
      <c r="P20" s="206">
        <f>SUM(B19,D19,F19,H19,J19,L19,N19)</f>
        <v>0</v>
      </c>
      <c r="Q20" s="234"/>
    </row>
    <row r="21">
      <c r="A21" s="49"/>
      <c r="B21" s="209" t="s">
        <v>302</v>
      </c>
      <c r="C21" s="209" t="s">
        <v>303</v>
      </c>
      <c r="D21" s="209" t="s">
        <v>302</v>
      </c>
      <c r="E21" s="209" t="s">
        <v>303</v>
      </c>
      <c r="F21" s="209" t="s">
        <v>302</v>
      </c>
      <c r="G21" s="209" t="s">
        <v>303</v>
      </c>
      <c r="H21" s="209" t="s">
        <v>302</v>
      </c>
      <c r="I21" s="209" t="s">
        <v>303</v>
      </c>
      <c r="J21" s="209" t="s">
        <v>302</v>
      </c>
      <c r="K21" s="209" t="s">
        <v>303</v>
      </c>
      <c r="L21" s="209" t="s">
        <v>302</v>
      </c>
      <c r="M21" s="209" t="s">
        <v>303</v>
      </c>
      <c r="N21" s="209" t="s">
        <v>302</v>
      </c>
      <c r="O21" s="209" t="s">
        <v>303</v>
      </c>
      <c r="P21" s="49"/>
      <c r="Q21" s="49"/>
    </row>
    <row r="22">
      <c r="A22" s="49"/>
      <c r="B22" s="214"/>
      <c r="C22" s="214"/>
      <c r="D22" s="214"/>
      <c r="E22" s="214"/>
      <c r="F22" s="214"/>
      <c r="G22" s="214"/>
      <c r="H22" s="214"/>
      <c r="I22" s="214"/>
      <c r="J22" s="214"/>
      <c r="K22" s="214"/>
      <c r="L22" s="214"/>
      <c r="M22" s="215"/>
      <c r="N22" s="214"/>
      <c r="O22" s="214"/>
      <c r="P22" s="3"/>
      <c r="Q22" s="3"/>
    </row>
    <row r="23">
      <c r="A23" s="216"/>
      <c r="B23" s="217" t="s">
        <v>305</v>
      </c>
      <c r="C23" s="24"/>
      <c r="D23" s="217" t="s">
        <v>305</v>
      </c>
      <c r="E23" s="24"/>
      <c r="F23" s="217" t="s">
        <v>305</v>
      </c>
      <c r="G23" s="24"/>
      <c r="H23" s="217" t="s">
        <v>305</v>
      </c>
      <c r="I23" s="24"/>
      <c r="J23" s="217" t="s">
        <v>305</v>
      </c>
      <c r="K23" s="24"/>
      <c r="L23" s="217" t="s">
        <v>305</v>
      </c>
      <c r="M23" s="24"/>
      <c r="N23" s="217" t="s">
        <v>305</v>
      </c>
      <c r="O23" s="24"/>
      <c r="P23" s="218" t="s">
        <v>306</v>
      </c>
      <c r="Q23" s="24"/>
    </row>
    <row r="24">
      <c r="A24" s="49"/>
      <c r="B24" s="219"/>
      <c r="C24" s="24"/>
      <c r="D24" s="219"/>
      <c r="E24" s="24"/>
      <c r="F24" s="219"/>
      <c r="G24" s="24"/>
      <c r="H24" s="219"/>
      <c r="I24" s="24"/>
      <c r="J24" s="219"/>
      <c r="K24" s="24"/>
      <c r="L24" s="219"/>
      <c r="M24" s="24"/>
      <c r="N24" s="219"/>
      <c r="O24" s="24"/>
      <c r="P24" s="219"/>
      <c r="Q24" s="24"/>
    </row>
    <row r="25">
      <c r="A25" s="49"/>
      <c r="B25" s="220" t="s">
        <v>307</v>
      </c>
      <c r="C25" s="221" t="b">
        <v>0</v>
      </c>
      <c r="D25" s="220" t="s">
        <v>307</v>
      </c>
      <c r="E25" s="223" t="b">
        <v>0</v>
      </c>
      <c r="F25" s="220" t="s">
        <v>307</v>
      </c>
      <c r="G25" s="223" t="b">
        <v>0</v>
      </c>
      <c r="H25" s="220" t="s">
        <v>307</v>
      </c>
      <c r="I25" s="223" t="b">
        <v>0</v>
      </c>
      <c r="J25" s="220" t="s">
        <v>307</v>
      </c>
      <c r="K25" s="223" t="b">
        <v>0</v>
      </c>
      <c r="L25" s="220" t="s">
        <v>307</v>
      </c>
      <c r="M25" s="223" t="b">
        <v>0</v>
      </c>
      <c r="N25" s="220" t="s">
        <v>307</v>
      </c>
      <c r="O25" s="223" t="b">
        <v>0</v>
      </c>
      <c r="P25" s="224">
        <f t="shared" ref="P25:P26" si="2">COUNTIF(B25:O25,True)/COUNTA(B25:O25)%/50</f>
        <v>0</v>
      </c>
      <c r="Q25" s="225" t="s">
        <v>308</v>
      </c>
    </row>
    <row r="26">
      <c r="A26" s="49"/>
      <c r="B26" s="220" t="s">
        <v>309</v>
      </c>
      <c r="C26" s="221" t="b">
        <v>0</v>
      </c>
      <c r="D26" s="220" t="s">
        <v>309</v>
      </c>
      <c r="E26" s="221" t="b">
        <v>0</v>
      </c>
      <c r="F26" s="220" t="s">
        <v>309</v>
      </c>
      <c r="G26" s="223" t="b">
        <v>0</v>
      </c>
      <c r="H26" s="220" t="s">
        <v>309</v>
      </c>
      <c r="I26" s="223" t="b">
        <v>0</v>
      </c>
      <c r="J26" s="220" t="s">
        <v>309</v>
      </c>
      <c r="K26" s="223" t="b">
        <v>0</v>
      </c>
      <c r="L26" s="220" t="s">
        <v>309</v>
      </c>
      <c r="M26" s="223" t="b">
        <v>0</v>
      </c>
      <c r="N26" s="220" t="s">
        <v>309</v>
      </c>
      <c r="O26" s="223" t="b">
        <v>0</v>
      </c>
      <c r="P26" s="224">
        <f t="shared" si="2"/>
        <v>0</v>
      </c>
      <c r="Q26" s="3"/>
    </row>
    <row r="27">
      <c r="A27" s="49"/>
      <c r="B27" s="226" t="s">
        <v>310</v>
      </c>
      <c r="C27" s="227"/>
      <c r="D27" s="226" t="s">
        <v>310</v>
      </c>
      <c r="E27" s="227"/>
      <c r="F27" s="226" t="s">
        <v>310</v>
      </c>
      <c r="G27" s="227"/>
      <c r="H27" s="226" t="s">
        <v>310</v>
      </c>
      <c r="I27" s="227"/>
      <c r="J27" s="226" t="s">
        <v>310</v>
      </c>
      <c r="K27" s="227"/>
      <c r="L27" s="226" t="s">
        <v>310</v>
      </c>
      <c r="M27" s="227"/>
      <c r="N27" s="226" t="s">
        <v>310</v>
      </c>
      <c r="O27" s="227"/>
      <c r="P27" s="228">
        <f>COUNTIF(B27:O27,"Yes")</f>
        <v>0</v>
      </c>
      <c r="Q27" s="229" t="s">
        <v>311</v>
      </c>
    </row>
    <row r="28">
      <c r="A28" s="3"/>
      <c r="B28" s="230" t="s">
        <v>312</v>
      </c>
      <c r="C28" s="231"/>
      <c r="D28" s="230" t="s">
        <v>312</v>
      </c>
      <c r="E28" s="231"/>
      <c r="F28" s="230" t="s">
        <v>312</v>
      </c>
      <c r="G28" s="231"/>
      <c r="H28" s="230" t="s">
        <v>312</v>
      </c>
      <c r="I28" s="231"/>
      <c r="J28" s="230" t="s">
        <v>312</v>
      </c>
      <c r="K28" s="231"/>
      <c r="L28" s="230" t="s">
        <v>312</v>
      </c>
      <c r="M28" s="231"/>
      <c r="N28" s="230" t="s">
        <v>312</v>
      </c>
      <c r="O28" s="231"/>
      <c r="P28" s="232">
        <f>SUM(C28,E28,G28,I28,K28,M28,O28)/7</f>
        <v>0</v>
      </c>
      <c r="Q28" s="230" t="s">
        <v>313</v>
      </c>
    </row>
    <row r="29" ht="10.5" customHeight="1">
      <c r="A29" s="233"/>
      <c r="B29" s="55"/>
      <c r="C29" s="55"/>
      <c r="D29" s="55"/>
      <c r="E29" s="55"/>
      <c r="F29" s="55"/>
      <c r="G29" s="55"/>
      <c r="H29" s="55"/>
      <c r="I29" s="55"/>
      <c r="J29" s="55"/>
      <c r="K29" s="55"/>
      <c r="L29" s="55"/>
      <c r="M29" s="55"/>
      <c r="N29" s="55"/>
      <c r="O29" s="55"/>
      <c r="P29" s="55"/>
      <c r="Q29" s="54"/>
    </row>
    <row r="30">
      <c r="A30" s="204"/>
      <c r="B30" s="240">
        <v>46188.0</v>
      </c>
      <c r="C30" s="24"/>
      <c r="D30" s="240">
        <v>46189.0</v>
      </c>
      <c r="E30" s="24"/>
      <c r="F30" s="240">
        <v>46190.0</v>
      </c>
      <c r="G30" s="24"/>
      <c r="H30" s="240">
        <v>46191.0</v>
      </c>
      <c r="I30" s="24"/>
      <c r="J30" s="240">
        <v>46192.0</v>
      </c>
      <c r="K30" s="24"/>
      <c r="L30" s="240">
        <v>46193.0</v>
      </c>
      <c r="M30" s="24"/>
      <c r="N30" s="240">
        <v>46194.0</v>
      </c>
      <c r="O30" s="24"/>
      <c r="P30" s="202" t="s">
        <v>287</v>
      </c>
      <c r="Q30" s="202" t="s">
        <v>288</v>
      </c>
    </row>
    <row r="31">
      <c r="A31" s="49"/>
      <c r="B31" s="210"/>
      <c r="C31" s="209" t="s">
        <v>295</v>
      </c>
      <c r="D31" s="210"/>
      <c r="E31" s="209" t="s">
        <v>295</v>
      </c>
      <c r="F31" s="210"/>
      <c r="G31" s="209" t="s">
        <v>295</v>
      </c>
      <c r="H31" s="210"/>
      <c r="I31" s="209" t="s">
        <v>295</v>
      </c>
      <c r="J31" s="210"/>
      <c r="K31" s="209" t="s">
        <v>295</v>
      </c>
      <c r="L31" s="210"/>
      <c r="M31" s="209" t="s">
        <v>295</v>
      </c>
      <c r="N31" s="210"/>
      <c r="O31" s="209" t="s">
        <v>295</v>
      </c>
      <c r="P31" s="54"/>
      <c r="Q31" s="54"/>
    </row>
    <row r="32">
      <c r="A32" s="49"/>
      <c r="B32" s="213"/>
      <c r="C32" s="212"/>
      <c r="D32" s="213"/>
      <c r="E32" s="212"/>
      <c r="F32" s="213"/>
      <c r="G32" s="212"/>
      <c r="H32" s="213"/>
      <c r="I32" s="212"/>
      <c r="J32" s="213"/>
      <c r="K32" s="212"/>
      <c r="L32" s="213"/>
      <c r="M32" s="212"/>
      <c r="N32" s="213"/>
      <c r="O32" s="212"/>
      <c r="P32" s="206">
        <f>SUM(B31,D31,F31,H31,J31,L31,N31)</f>
        <v>0</v>
      </c>
      <c r="Q32" s="234"/>
    </row>
    <row r="33">
      <c r="A33" s="49"/>
      <c r="B33" s="209" t="s">
        <v>302</v>
      </c>
      <c r="C33" s="209" t="s">
        <v>303</v>
      </c>
      <c r="D33" s="209" t="s">
        <v>302</v>
      </c>
      <c r="E33" s="209" t="s">
        <v>303</v>
      </c>
      <c r="F33" s="209" t="s">
        <v>302</v>
      </c>
      <c r="G33" s="209" t="s">
        <v>303</v>
      </c>
      <c r="H33" s="209" t="s">
        <v>302</v>
      </c>
      <c r="I33" s="209" t="s">
        <v>303</v>
      </c>
      <c r="J33" s="209" t="s">
        <v>302</v>
      </c>
      <c r="K33" s="209" t="s">
        <v>303</v>
      </c>
      <c r="L33" s="209" t="s">
        <v>302</v>
      </c>
      <c r="M33" s="209" t="s">
        <v>303</v>
      </c>
      <c r="N33" s="209" t="s">
        <v>302</v>
      </c>
      <c r="O33" s="209" t="s">
        <v>303</v>
      </c>
      <c r="P33" s="49"/>
      <c r="Q33" s="49"/>
    </row>
    <row r="34">
      <c r="A34" s="49"/>
      <c r="B34" s="214"/>
      <c r="C34" s="214"/>
      <c r="D34" s="214"/>
      <c r="E34" s="214"/>
      <c r="F34" s="214"/>
      <c r="G34" s="214"/>
      <c r="H34" s="214"/>
      <c r="I34" s="214"/>
      <c r="J34" s="214"/>
      <c r="K34" s="214"/>
      <c r="L34" s="214"/>
      <c r="M34" s="215"/>
      <c r="N34" s="214"/>
      <c r="O34" s="214"/>
      <c r="P34" s="3"/>
      <c r="Q34" s="3"/>
    </row>
    <row r="35">
      <c r="A35" s="216"/>
      <c r="B35" s="217" t="s">
        <v>305</v>
      </c>
      <c r="C35" s="24"/>
      <c r="D35" s="217" t="s">
        <v>305</v>
      </c>
      <c r="E35" s="24"/>
      <c r="F35" s="217" t="s">
        <v>305</v>
      </c>
      <c r="G35" s="24"/>
      <c r="H35" s="217" t="s">
        <v>305</v>
      </c>
      <c r="I35" s="24"/>
      <c r="J35" s="217" t="s">
        <v>305</v>
      </c>
      <c r="K35" s="24"/>
      <c r="L35" s="217" t="s">
        <v>305</v>
      </c>
      <c r="M35" s="24"/>
      <c r="N35" s="217" t="s">
        <v>305</v>
      </c>
      <c r="O35" s="24"/>
      <c r="P35" s="218" t="s">
        <v>306</v>
      </c>
      <c r="Q35" s="24"/>
    </row>
    <row r="36">
      <c r="A36" s="49"/>
      <c r="B36" s="219"/>
      <c r="C36" s="24"/>
      <c r="D36" s="219"/>
      <c r="E36" s="24"/>
      <c r="F36" s="219"/>
      <c r="G36" s="24"/>
      <c r="H36" s="219"/>
      <c r="I36" s="24"/>
      <c r="J36" s="219"/>
      <c r="K36" s="24"/>
      <c r="L36" s="219"/>
      <c r="M36" s="24"/>
      <c r="N36" s="219"/>
      <c r="O36" s="24"/>
      <c r="P36" s="219"/>
      <c r="Q36" s="24"/>
    </row>
    <row r="37">
      <c r="A37" s="49"/>
      <c r="B37" s="220" t="s">
        <v>307</v>
      </c>
      <c r="C37" s="221" t="b">
        <v>0</v>
      </c>
      <c r="D37" s="220" t="s">
        <v>307</v>
      </c>
      <c r="E37" s="223" t="b">
        <v>0</v>
      </c>
      <c r="F37" s="220" t="s">
        <v>307</v>
      </c>
      <c r="G37" s="223" t="b">
        <v>0</v>
      </c>
      <c r="H37" s="220" t="s">
        <v>307</v>
      </c>
      <c r="I37" s="223" t="b">
        <v>0</v>
      </c>
      <c r="J37" s="220" t="s">
        <v>307</v>
      </c>
      <c r="K37" s="223" t="b">
        <v>0</v>
      </c>
      <c r="L37" s="220" t="s">
        <v>307</v>
      </c>
      <c r="M37" s="223" t="b">
        <v>0</v>
      </c>
      <c r="N37" s="220" t="s">
        <v>307</v>
      </c>
      <c r="O37" s="223" t="b">
        <v>0</v>
      </c>
      <c r="P37" s="224">
        <f t="shared" ref="P37:P38" si="3">COUNTIF(B37:O37,True)/COUNTA(B37:O37)%/50</f>
        <v>0</v>
      </c>
      <c r="Q37" s="225" t="s">
        <v>308</v>
      </c>
    </row>
    <row r="38">
      <c r="A38" s="49"/>
      <c r="B38" s="220" t="s">
        <v>309</v>
      </c>
      <c r="C38" s="221" t="b">
        <v>0</v>
      </c>
      <c r="D38" s="220" t="s">
        <v>309</v>
      </c>
      <c r="E38" s="221" t="b">
        <v>0</v>
      </c>
      <c r="F38" s="220" t="s">
        <v>309</v>
      </c>
      <c r="G38" s="223" t="b">
        <v>0</v>
      </c>
      <c r="H38" s="220" t="s">
        <v>309</v>
      </c>
      <c r="I38" s="223" t="b">
        <v>0</v>
      </c>
      <c r="J38" s="220" t="s">
        <v>309</v>
      </c>
      <c r="K38" s="223" t="b">
        <v>0</v>
      </c>
      <c r="L38" s="220" t="s">
        <v>309</v>
      </c>
      <c r="M38" s="223" t="b">
        <v>0</v>
      </c>
      <c r="N38" s="220" t="s">
        <v>309</v>
      </c>
      <c r="O38" s="223" t="b">
        <v>0</v>
      </c>
      <c r="P38" s="224">
        <f t="shared" si="3"/>
        <v>0</v>
      </c>
      <c r="Q38" s="3"/>
    </row>
    <row r="39">
      <c r="A39" s="49"/>
      <c r="B39" s="226" t="s">
        <v>310</v>
      </c>
      <c r="C39" s="227"/>
      <c r="D39" s="226" t="s">
        <v>310</v>
      </c>
      <c r="E39" s="227"/>
      <c r="F39" s="226" t="s">
        <v>310</v>
      </c>
      <c r="G39" s="227"/>
      <c r="H39" s="226" t="s">
        <v>310</v>
      </c>
      <c r="I39" s="227"/>
      <c r="J39" s="226" t="s">
        <v>310</v>
      </c>
      <c r="K39" s="227"/>
      <c r="L39" s="226" t="s">
        <v>310</v>
      </c>
      <c r="M39" s="227"/>
      <c r="N39" s="226" t="s">
        <v>310</v>
      </c>
      <c r="O39" s="227"/>
      <c r="P39" s="228">
        <f>COUNTIF(B39:O39,"Yes")</f>
        <v>0</v>
      </c>
      <c r="Q39" s="229" t="s">
        <v>311</v>
      </c>
    </row>
    <row r="40">
      <c r="A40" s="3"/>
      <c r="B40" s="230" t="s">
        <v>312</v>
      </c>
      <c r="C40" s="231"/>
      <c r="D40" s="230" t="s">
        <v>312</v>
      </c>
      <c r="E40" s="231"/>
      <c r="F40" s="230" t="s">
        <v>312</v>
      </c>
      <c r="G40" s="231"/>
      <c r="H40" s="230" t="s">
        <v>312</v>
      </c>
      <c r="I40" s="231"/>
      <c r="J40" s="230" t="s">
        <v>312</v>
      </c>
      <c r="K40" s="231"/>
      <c r="L40" s="230" t="s">
        <v>312</v>
      </c>
      <c r="M40" s="231"/>
      <c r="N40" s="230" t="s">
        <v>312</v>
      </c>
      <c r="O40" s="231"/>
      <c r="P40" s="232">
        <f>SUM(C40,E40,G40,I40,K40,M40,O40)/7</f>
        <v>0</v>
      </c>
      <c r="Q40" s="230" t="s">
        <v>313</v>
      </c>
    </row>
    <row r="41" ht="10.5" customHeight="1">
      <c r="A41" s="233"/>
      <c r="B41" s="55"/>
      <c r="C41" s="55"/>
      <c r="D41" s="55"/>
      <c r="E41" s="55"/>
      <c r="F41" s="55"/>
      <c r="G41" s="55"/>
      <c r="H41" s="55"/>
      <c r="I41" s="55"/>
      <c r="J41" s="55"/>
      <c r="K41" s="55"/>
      <c r="L41" s="55"/>
      <c r="M41" s="55"/>
      <c r="N41" s="55"/>
      <c r="O41" s="55"/>
      <c r="P41" s="55"/>
      <c r="Q41" s="54"/>
    </row>
    <row r="42">
      <c r="A42" s="204"/>
      <c r="B42" s="240">
        <v>46195.0</v>
      </c>
      <c r="C42" s="24"/>
      <c r="D42" s="240">
        <v>46196.0</v>
      </c>
      <c r="E42" s="24"/>
      <c r="F42" s="240">
        <v>46197.0</v>
      </c>
      <c r="G42" s="24"/>
      <c r="H42" s="240">
        <v>46198.0</v>
      </c>
      <c r="I42" s="24"/>
      <c r="J42" s="240">
        <v>46199.0</v>
      </c>
      <c r="K42" s="24"/>
      <c r="L42" s="240">
        <v>46200.0</v>
      </c>
      <c r="M42" s="24"/>
      <c r="N42" s="240">
        <v>46201.0</v>
      </c>
      <c r="O42" s="24"/>
      <c r="P42" s="202" t="s">
        <v>287</v>
      </c>
      <c r="Q42" s="202" t="s">
        <v>288</v>
      </c>
    </row>
    <row r="43">
      <c r="A43" s="49"/>
      <c r="B43" s="210"/>
      <c r="C43" s="209" t="s">
        <v>295</v>
      </c>
      <c r="D43" s="210"/>
      <c r="E43" s="209" t="s">
        <v>295</v>
      </c>
      <c r="F43" s="210"/>
      <c r="G43" s="209" t="s">
        <v>295</v>
      </c>
      <c r="H43" s="210"/>
      <c r="I43" s="209" t="s">
        <v>295</v>
      </c>
      <c r="J43" s="210"/>
      <c r="K43" s="209" t="s">
        <v>295</v>
      </c>
      <c r="L43" s="210"/>
      <c r="M43" s="209" t="s">
        <v>295</v>
      </c>
      <c r="N43" s="210"/>
      <c r="O43" s="209" t="s">
        <v>295</v>
      </c>
      <c r="P43" s="54"/>
      <c r="Q43" s="54"/>
    </row>
    <row r="44">
      <c r="A44" s="49"/>
      <c r="B44" s="213"/>
      <c r="C44" s="212"/>
      <c r="D44" s="213"/>
      <c r="E44" s="212"/>
      <c r="F44" s="213"/>
      <c r="G44" s="212"/>
      <c r="H44" s="213"/>
      <c r="I44" s="212"/>
      <c r="J44" s="213"/>
      <c r="K44" s="212"/>
      <c r="L44" s="213"/>
      <c r="M44" s="212"/>
      <c r="N44" s="213"/>
      <c r="O44" s="212"/>
      <c r="P44" s="206">
        <f>SUM(B43,D43,F43,H43,J43,L43,N43)</f>
        <v>0</v>
      </c>
      <c r="Q44" s="234"/>
    </row>
    <row r="45">
      <c r="A45" s="49"/>
      <c r="B45" s="209" t="s">
        <v>302</v>
      </c>
      <c r="C45" s="209" t="s">
        <v>303</v>
      </c>
      <c r="D45" s="209" t="s">
        <v>302</v>
      </c>
      <c r="E45" s="209" t="s">
        <v>303</v>
      </c>
      <c r="F45" s="209" t="s">
        <v>302</v>
      </c>
      <c r="G45" s="209" t="s">
        <v>303</v>
      </c>
      <c r="H45" s="209" t="s">
        <v>302</v>
      </c>
      <c r="I45" s="209" t="s">
        <v>303</v>
      </c>
      <c r="J45" s="209" t="s">
        <v>302</v>
      </c>
      <c r="K45" s="209" t="s">
        <v>303</v>
      </c>
      <c r="L45" s="209" t="s">
        <v>302</v>
      </c>
      <c r="M45" s="209" t="s">
        <v>303</v>
      </c>
      <c r="N45" s="209" t="s">
        <v>302</v>
      </c>
      <c r="O45" s="209" t="s">
        <v>303</v>
      </c>
      <c r="P45" s="49"/>
      <c r="Q45" s="49"/>
    </row>
    <row r="46">
      <c r="A46" s="49"/>
      <c r="B46" s="214"/>
      <c r="C46" s="214"/>
      <c r="D46" s="214"/>
      <c r="E46" s="214"/>
      <c r="F46" s="214"/>
      <c r="G46" s="214"/>
      <c r="H46" s="214"/>
      <c r="I46" s="214"/>
      <c r="J46" s="214"/>
      <c r="K46" s="214"/>
      <c r="L46" s="214"/>
      <c r="M46" s="215"/>
      <c r="N46" s="214"/>
      <c r="O46" s="214"/>
      <c r="P46" s="3"/>
      <c r="Q46" s="3"/>
    </row>
    <row r="47">
      <c r="A47" s="216"/>
      <c r="B47" s="217" t="s">
        <v>305</v>
      </c>
      <c r="C47" s="24"/>
      <c r="D47" s="217" t="s">
        <v>305</v>
      </c>
      <c r="E47" s="24"/>
      <c r="F47" s="217" t="s">
        <v>305</v>
      </c>
      <c r="G47" s="24"/>
      <c r="H47" s="217" t="s">
        <v>305</v>
      </c>
      <c r="I47" s="24"/>
      <c r="J47" s="217" t="s">
        <v>305</v>
      </c>
      <c r="K47" s="24"/>
      <c r="L47" s="217" t="s">
        <v>305</v>
      </c>
      <c r="M47" s="24"/>
      <c r="N47" s="217" t="s">
        <v>305</v>
      </c>
      <c r="O47" s="24"/>
      <c r="P47" s="218" t="s">
        <v>306</v>
      </c>
      <c r="Q47" s="24"/>
    </row>
    <row r="48">
      <c r="A48" s="49"/>
      <c r="B48" s="219"/>
      <c r="C48" s="24"/>
      <c r="D48" s="219"/>
      <c r="E48" s="24"/>
      <c r="F48" s="219"/>
      <c r="G48" s="24"/>
      <c r="H48" s="219"/>
      <c r="I48" s="24"/>
      <c r="J48" s="219"/>
      <c r="K48" s="24"/>
      <c r="L48" s="219"/>
      <c r="M48" s="24"/>
      <c r="N48" s="219"/>
      <c r="O48" s="24"/>
      <c r="P48" s="219"/>
      <c r="Q48" s="24"/>
    </row>
    <row r="49">
      <c r="A49" s="49"/>
      <c r="B49" s="220" t="s">
        <v>307</v>
      </c>
      <c r="C49" s="221" t="b">
        <v>0</v>
      </c>
      <c r="D49" s="220" t="s">
        <v>307</v>
      </c>
      <c r="E49" s="223" t="b">
        <v>0</v>
      </c>
      <c r="F49" s="220" t="s">
        <v>307</v>
      </c>
      <c r="G49" s="223" t="b">
        <v>0</v>
      </c>
      <c r="H49" s="220" t="s">
        <v>307</v>
      </c>
      <c r="I49" s="223" t="b">
        <v>0</v>
      </c>
      <c r="J49" s="220" t="s">
        <v>307</v>
      </c>
      <c r="K49" s="223" t="b">
        <v>0</v>
      </c>
      <c r="L49" s="220" t="s">
        <v>307</v>
      </c>
      <c r="M49" s="223" t="b">
        <v>0</v>
      </c>
      <c r="N49" s="220" t="s">
        <v>307</v>
      </c>
      <c r="O49" s="223" t="b">
        <v>0</v>
      </c>
      <c r="P49" s="224">
        <f t="shared" ref="P49:P50" si="4">COUNTIF(B49:O49,True)/COUNTA(B49:O49)%/50</f>
        <v>0</v>
      </c>
      <c r="Q49" s="225" t="s">
        <v>308</v>
      </c>
    </row>
    <row r="50">
      <c r="A50" s="49"/>
      <c r="B50" s="220" t="s">
        <v>309</v>
      </c>
      <c r="C50" s="221" t="b">
        <v>0</v>
      </c>
      <c r="D50" s="220" t="s">
        <v>309</v>
      </c>
      <c r="E50" s="221" t="b">
        <v>0</v>
      </c>
      <c r="F50" s="220" t="s">
        <v>309</v>
      </c>
      <c r="G50" s="223" t="b">
        <v>0</v>
      </c>
      <c r="H50" s="220" t="s">
        <v>309</v>
      </c>
      <c r="I50" s="223" t="b">
        <v>0</v>
      </c>
      <c r="J50" s="220" t="s">
        <v>309</v>
      </c>
      <c r="K50" s="223" t="b">
        <v>0</v>
      </c>
      <c r="L50" s="220" t="s">
        <v>309</v>
      </c>
      <c r="M50" s="223" t="b">
        <v>0</v>
      </c>
      <c r="N50" s="220" t="s">
        <v>309</v>
      </c>
      <c r="O50" s="223" t="b">
        <v>0</v>
      </c>
      <c r="P50" s="224">
        <f t="shared" si="4"/>
        <v>0</v>
      </c>
      <c r="Q50" s="3"/>
    </row>
    <row r="51">
      <c r="A51" s="49"/>
      <c r="B51" s="226" t="s">
        <v>310</v>
      </c>
      <c r="C51" s="227"/>
      <c r="D51" s="226" t="s">
        <v>310</v>
      </c>
      <c r="E51" s="227"/>
      <c r="F51" s="226" t="s">
        <v>310</v>
      </c>
      <c r="G51" s="227"/>
      <c r="H51" s="226" t="s">
        <v>310</v>
      </c>
      <c r="I51" s="227"/>
      <c r="J51" s="226" t="s">
        <v>310</v>
      </c>
      <c r="K51" s="227"/>
      <c r="L51" s="226" t="s">
        <v>310</v>
      </c>
      <c r="M51" s="227"/>
      <c r="N51" s="226" t="s">
        <v>310</v>
      </c>
      <c r="O51" s="227"/>
      <c r="P51" s="228">
        <f>COUNTIF(B51:O51,"Yes")</f>
        <v>0</v>
      </c>
      <c r="Q51" s="229" t="s">
        <v>311</v>
      </c>
    </row>
    <row r="52">
      <c r="A52" s="3"/>
      <c r="B52" s="230" t="s">
        <v>312</v>
      </c>
      <c r="C52" s="231"/>
      <c r="D52" s="230" t="s">
        <v>312</v>
      </c>
      <c r="E52" s="231"/>
      <c r="F52" s="230" t="s">
        <v>312</v>
      </c>
      <c r="G52" s="231"/>
      <c r="H52" s="230" t="s">
        <v>312</v>
      </c>
      <c r="I52" s="231"/>
      <c r="J52" s="230" t="s">
        <v>312</v>
      </c>
      <c r="K52" s="231"/>
      <c r="L52" s="230" t="s">
        <v>312</v>
      </c>
      <c r="M52" s="231"/>
      <c r="N52" s="230" t="s">
        <v>312</v>
      </c>
      <c r="O52" s="231"/>
      <c r="P52" s="232">
        <f>SUM(C52,E52,G52,I52,K52,M52,O52)/7</f>
        <v>0</v>
      </c>
      <c r="Q52" s="230" t="s">
        <v>313</v>
      </c>
    </row>
  </sheetData>
  <mergeCells count="145">
    <mergeCell ref="B18:C18"/>
    <mergeCell ref="B23:C23"/>
    <mergeCell ref="A47:A52"/>
    <mergeCell ref="B47:C47"/>
    <mergeCell ref="D47:E47"/>
    <mergeCell ref="B48:C48"/>
    <mergeCell ref="D48:E48"/>
    <mergeCell ref="A23:A28"/>
    <mergeCell ref="B24:C24"/>
    <mergeCell ref="A30:A34"/>
    <mergeCell ref="B30:C30"/>
    <mergeCell ref="A35:A40"/>
    <mergeCell ref="B35:C35"/>
    <mergeCell ref="D35:E35"/>
    <mergeCell ref="N18:O18"/>
    <mergeCell ref="P18:P19"/>
    <mergeCell ref="Q18:Q19"/>
    <mergeCell ref="P20:P22"/>
    <mergeCell ref="Q20:Q22"/>
    <mergeCell ref="H23:I23"/>
    <mergeCell ref="J23:K23"/>
    <mergeCell ref="N23:O23"/>
    <mergeCell ref="P23:Q23"/>
    <mergeCell ref="A18:A22"/>
    <mergeCell ref="D18:E18"/>
    <mergeCell ref="F18:G18"/>
    <mergeCell ref="H18:I18"/>
    <mergeCell ref="J18:K18"/>
    <mergeCell ref="L18:M18"/>
    <mergeCell ref="L23:M23"/>
    <mergeCell ref="D23:E23"/>
    <mergeCell ref="F23:G23"/>
    <mergeCell ref="D24:E24"/>
    <mergeCell ref="F24:G24"/>
    <mergeCell ref="H24:I24"/>
    <mergeCell ref="J24:K24"/>
    <mergeCell ref="L24:M24"/>
    <mergeCell ref="N30:O30"/>
    <mergeCell ref="A41:Q41"/>
    <mergeCell ref="N24:O24"/>
    <mergeCell ref="P24:Q24"/>
    <mergeCell ref="Q25:Q26"/>
    <mergeCell ref="A29:Q29"/>
    <mergeCell ref="D30:E30"/>
    <mergeCell ref="F30:G30"/>
    <mergeCell ref="H30:I30"/>
    <mergeCell ref="H48:I48"/>
    <mergeCell ref="J48:K48"/>
    <mergeCell ref="P48:Q48"/>
    <mergeCell ref="Q49:Q50"/>
    <mergeCell ref="F4:G4"/>
    <mergeCell ref="H4:I4"/>
    <mergeCell ref="D5:E5"/>
    <mergeCell ref="F5:G5"/>
    <mergeCell ref="D6:E6"/>
    <mergeCell ref="F6:G6"/>
    <mergeCell ref="D11:E11"/>
    <mergeCell ref="F11:G11"/>
    <mergeCell ref="H11:I11"/>
    <mergeCell ref="N12:O12"/>
    <mergeCell ref="P12:Q12"/>
    <mergeCell ref="J11:K11"/>
    <mergeCell ref="L11:M11"/>
    <mergeCell ref="N11:O11"/>
    <mergeCell ref="P11:Q11"/>
    <mergeCell ref="D12:E12"/>
    <mergeCell ref="F12:G12"/>
    <mergeCell ref="H12:I12"/>
    <mergeCell ref="D2:E3"/>
    <mergeCell ref="B4:C4"/>
    <mergeCell ref="D4:E4"/>
    <mergeCell ref="J4:K4"/>
    <mergeCell ref="L4:M4"/>
    <mergeCell ref="N4:O4"/>
    <mergeCell ref="P4:P5"/>
    <mergeCell ref="N5:O5"/>
    <mergeCell ref="N6:O6"/>
    <mergeCell ref="P6:P10"/>
    <mergeCell ref="Q6:Q10"/>
    <mergeCell ref="Q13:Q14"/>
    <mergeCell ref="H5:I5"/>
    <mergeCell ref="J5:K5"/>
    <mergeCell ref="H6:I6"/>
    <mergeCell ref="J6:K6"/>
    <mergeCell ref="L6:M6"/>
    <mergeCell ref="B1:G1"/>
    <mergeCell ref="H1:I3"/>
    <mergeCell ref="J1:O3"/>
    <mergeCell ref="P1:Q3"/>
    <mergeCell ref="F2:G2"/>
    <mergeCell ref="F3:G3"/>
    <mergeCell ref="Q4:Q5"/>
    <mergeCell ref="L5:M5"/>
    <mergeCell ref="J12:K12"/>
    <mergeCell ref="L12:M12"/>
    <mergeCell ref="A17:Q17"/>
    <mergeCell ref="A1:A5"/>
    <mergeCell ref="B5:C5"/>
    <mergeCell ref="A6:A10"/>
    <mergeCell ref="B6:C6"/>
    <mergeCell ref="A11:A16"/>
    <mergeCell ref="B11:C11"/>
    <mergeCell ref="B12:C12"/>
    <mergeCell ref="H35:I35"/>
    <mergeCell ref="J35:K35"/>
    <mergeCell ref="L35:M35"/>
    <mergeCell ref="N35:O35"/>
    <mergeCell ref="J30:K30"/>
    <mergeCell ref="L30:M30"/>
    <mergeCell ref="P30:P31"/>
    <mergeCell ref="Q30:Q31"/>
    <mergeCell ref="P32:P34"/>
    <mergeCell ref="Q32:Q34"/>
    <mergeCell ref="F35:G35"/>
    <mergeCell ref="P35:Q35"/>
    <mergeCell ref="P36:Q36"/>
    <mergeCell ref="Q37:Q38"/>
    <mergeCell ref="B36:C36"/>
    <mergeCell ref="D36:E36"/>
    <mergeCell ref="F36:G36"/>
    <mergeCell ref="H36:I36"/>
    <mergeCell ref="J36:K36"/>
    <mergeCell ref="L36:M36"/>
    <mergeCell ref="N36:O36"/>
    <mergeCell ref="N42:O42"/>
    <mergeCell ref="P42:P43"/>
    <mergeCell ref="Q42:Q43"/>
    <mergeCell ref="P44:P46"/>
    <mergeCell ref="Q44:Q46"/>
    <mergeCell ref="A42:A46"/>
    <mergeCell ref="B42:C42"/>
    <mergeCell ref="D42:E42"/>
    <mergeCell ref="F42:G42"/>
    <mergeCell ref="H42:I42"/>
    <mergeCell ref="J42:K42"/>
    <mergeCell ref="L42:M42"/>
    <mergeCell ref="L48:M48"/>
    <mergeCell ref="N48:O48"/>
    <mergeCell ref="F47:G47"/>
    <mergeCell ref="H47:I47"/>
    <mergeCell ref="J47:K47"/>
    <mergeCell ref="L47:M47"/>
    <mergeCell ref="N47:O47"/>
    <mergeCell ref="P47:Q47"/>
    <mergeCell ref="F48:G48"/>
  </mergeCells>
  <dataValidations>
    <dataValidation type="list" allowBlank="1" showErrorMessage="1" sqref="A11 A23 A35 A47">
      <formula1>"Don't Push/ Strict Paces,Focus on Recovery Don't Push,Focus HEAVILY on Rolling/ Stretching/ Recovery,Fuel Every Quality Session/ TRACK and see what works/ doesn't,Prep/Fuel Like Race Week,If you feel good; close last 10-20% of hard/ long workouts faster,S"&amp;"tay on Top of the Little Things / Be Ready to Push,Focus More on Strength,Last EASY (50%) Strength: Sat or Sun,Schedule Race Prep Call,Communicate Daily w/ Coach"</formula1>
    </dataValidation>
    <dataValidation type="list" allowBlank="1" showErrorMessage="1" sqref="C16 E16 G16 I16 K16 M16 O16 C28 E28 G28 I28 K28 M28 O28 C40 E40 G40 I40 K40 M40 O40 C52 E52 G52 I52 K52 M52 O52">
      <formula1>"1,2,3,4,5,6,7,8,9,10"</formula1>
    </dataValidation>
    <dataValidation type="list" allowBlank="1" showErrorMessage="1" sqref="A6 A18 A30 A42">
      <formula1>"REST WEEK,BUILD WEEK,PUSH WEEK,PEAK WEEK,RACE WEEK,INJURED,ILLNESS,RETURN WEEK,CROSS TRAINING,TRAVEL/ LIMITED WEEK"</formula1>
    </dataValidation>
    <dataValidation type="list" allowBlank="1" showErrorMessage="1" sqref="C15 E15 G15 I15 K15 M15 O15 C27 E27 G27 I27 K27 M27 O27 C39 E39 G39 I39 K39 M39 O39 C51 E51 G51 I51 K51 M51 O51">
      <formula1>"Yes,No"</formula1>
    </dataValidation>
  </dataValidations>
  <hyperlinks>
    <hyperlink r:id="rId1" ref="D2"/>
    <hyperlink r:id="rId2" ref="F2"/>
    <hyperlink r:id="rId3" ref="F3"/>
  </hyperlinks>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8.63"/>
    <col customWidth="1" min="4" max="4" width="18.75"/>
    <col customWidth="1" min="6" max="6" width="18.88"/>
    <col customWidth="1" min="8" max="8" width="18.25"/>
    <col customWidth="1" min="9" max="9" width="13.0"/>
    <col customWidth="1" min="10" max="10" width="19.13"/>
    <col customWidth="1" min="12" max="12" width="18.38"/>
    <col customWidth="1" min="14" max="14" width="18.5"/>
    <col customWidth="1" min="17" max="17" width="14.88"/>
  </cols>
  <sheetData>
    <row r="1">
      <c r="A1" s="238" t="str">
        <f>June!A1</f>
        <v>STRAVA</v>
      </c>
      <c r="B1" s="190" t="s">
        <v>380</v>
      </c>
      <c r="C1" s="23"/>
      <c r="D1" s="23"/>
      <c r="E1" s="23"/>
      <c r="F1" s="23"/>
      <c r="G1" s="23"/>
      <c r="H1" s="191" t="s">
        <v>272</v>
      </c>
      <c r="I1" s="48"/>
      <c r="J1" s="192"/>
      <c r="K1" s="48"/>
      <c r="L1" s="48"/>
      <c r="M1" s="48"/>
      <c r="N1" s="48"/>
      <c r="O1" s="48"/>
      <c r="P1" s="193"/>
      <c r="Q1" s="42"/>
    </row>
    <row r="2">
      <c r="A2" s="49"/>
      <c r="B2" s="194" t="s">
        <v>274</v>
      </c>
      <c r="C2" s="237" t="str">
        <f>June!C2</f>
        <v>1.5 mile</v>
      </c>
      <c r="D2" s="196" t="s">
        <v>276</v>
      </c>
      <c r="E2" s="48"/>
      <c r="F2" s="197" t="s">
        <v>277</v>
      </c>
      <c r="G2" s="24"/>
      <c r="H2" s="50"/>
      <c r="P2" s="50"/>
      <c r="Q2" s="51"/>
    </row>
    <row r="3">
      <c r="A3" s="49"/>
      <c r="B3" s="198" t="s">
        <v>278</v>
      </c>
      <c r="C3" s="237" t="str">
        <f>June!C3</f>
        <v>1.5 mile</v>
      </c>
      <c r="D3" s="50"/>
      <c r="F3" s="199" t="s">
        <v>279</v>
      </c>
      <c r="G3" s="24"/>
      <c r="H3" s="50"/>
      <c r="P3" s="53"/>
      <c r="Q3" s="54"/>
    </row>
    <row r="4">
      <c r="A4" s="49"/>
      <c r="B4" s="200" t="s">
        <v>280</v>
      </c>
      <c r="C4" s="24"/>
      <c r="D4" s="201" t="s">
        <v>281</v>
      </c>
      <c r="E4" s="24"/>
      <c r="F4" s="201" t="s">
        <v>282</v>
      </c>
      <c r="G4" s="24"/>
      <c r="H4" s="201" t="s">
        <v>283</v>
      </c>
      <c r="I4" s="24"/>
      <c r="J4" s="201" t="s">
        <v>284</v>
      </c>
      <c r="K4" s="24"/>
      <c r="L4" s="201" t="s">
        <v>285</v>
      </c>
      <c r="M4" s="24"/>
      <c r="N4" s="201" t="s">
        <v>286</v>
      </c>
      <c r="O4" s="24"/>
      <c r="P4" s="202" t="s">
        <v>287</v>
      </c>
      <c r="Q4" s="202" t="s">
        <v>288</v>
      </c>
    </row>
    <row r="5">
      <c r="A5" s="3"/>
      <c r="B5" s="203" t="str">
        <f>June!B5</f>
        <v>EASY RUN</v>
      </c>
      <c r="C5" s="24"/>
      <c r="D5" s="203" t="str">
        <f>June!D5</f>
        <v>HARD WORKOUT
&amp; STRENGTH</v>
      </c>
      <c r="E5" s="24"/>
      <c r="F5" s="203" t="str">
        <f>June!F5</f>
        <v>EASY RUN</v>
      </c>
      <c r="G5" s="24"/>
      <c r="H5" s="203" t="str">
        <f>June!H5</f>
        <v>HARD WORKOUT
&amp; STRENGTH</v>
      </c>
      <c r="I5" s="24"/>
      <c r="J5" s="203" t="str">
        <f>June!J5</f>
        <v>REST</v>
      </c>
      <c r="K5" s="24"/>
      <c r="L5" s="203" t="str">
        <f>June!L5</f>
        <v>LONG RUN</v>
      </c>
      <c r="M5" s="24"/>
      <c r="N5" s="239" t="str">
        <f>June!N5</f>
        <v>REST OR EASY RUN</v>
      </c>
      <c r="O5" s="24"/>
      <c r="P5" s="54"/>
      <c r="Q5" s="54"/>
    </row>
    <row r="6">
      <c r="A6" s="204"/>
      <c r="B6" s="240">
        <v>46202.0</v>
      </c>
      <c r="C6" s="24"/>
      <c r="D6" s="240">
        <v>46203.0</v>
      </c>
      <c r="E6" s="24"/>
      <c r="F6" s="240">
        <v>46204.0</v>
      </c>
      <c r="G6" s="24"/>
      <c r="H6" s="240">
        <v>46205.0</v>
      </c>
      <c r="I6" s="24"/>
      <c r="J6" s="240">
        <v>46206.0</v>
      </c>
      <c r="K6" s="24"/>
      <c r="L6" s="240">
        <v>46207.0</v>
      </c>
      <c r="M6" s="24"/>
      <c r="N6" s="240">
        <v>46208.0</v>
      </c>
      <c r="O6" s="24"/>
      <c r="P6" s="206">
        <f>SUM(B7,D7,F7,H7,J7,L7,N7)</f>
        <v>0</v>
      </c>
      <c r="Q6" s="207"/>
    </row>
    <row r="7">
      <c r="A7" s="49"/>
      <c r="B7" s="210"/>
      <c r="C7" s="209" t="s">
        <v>295</v>
      </c>
      <c r="D7" s="210"/>
      <c r="E7" s="209" t="s">
        <v>295</v>
      </c>
      <c r="F7" s="210"/>
      <c r="G7" s="209" t="s">
        <v>295</v>
      </c>
      <c r="H7" s="210"/>
      <c r="I7" s="209" t="s">
        <v>295</v>
      </c>
      <c r="J7" s="210"/>
      <c r="K7" s="209" t="s">
        <v>295</v>
      </c>
      <c r="L7" s="210"/>
      <c r="M7" s="209" t="s">
        <v>295</v>
      </c>
      <c r="N7" s="210"/>
      <c r="O7" s="209" t="s">
        <v>295</v>
      </c>
      <c r="P7" s="49"/>
      <c r="Q7" s="49"/>
    </row>
    <row r="8">
      <c r="A8" s="49"/>
      <c r="B8" s="213"/>
      <c r="C8" s="212"/>
      <c r="D8" s="213"/>
      <c r="E8" s="212"/>
      <c r="F8" s="213"/>
      <c r="G8" s="212"/>
      <c r="H8" s="213"/>
      <c r="I8" s="212"/>
      <c r="J8" s="213"/>
      <c r="K8" s="212"/>
      <c r="L8" s="213"/>
      <c r="M8" s="212"/>
      <c r="N8" s="213"/>
      <c r="O8" s="212"/>
      <c r="P8" s="49"/>
      <c r="Q8" s="49"/>
    </row>
    <row r="9">
      <c r="A9" s="49"/>
      <c r="B9" s="209" t="s">
        <v>302</v>
      </c>
      <c r="C9" s="209" t="s">
        <v>303</v>
      </c>
      <c r="D9" s="209" t="s">
        <v>302</v>
      </c>
      <c r="E9" s="209" t="s">
        <v>303</v>
      </c>
      <c r="F9" s="209" t="s">
        <v>302</v>
      </c>
      <c r="G9" s="209" t="s">
        <v>303</v>
      </c>
      <c r="H9" s="209" t="s">
        <v>302</v>
      </c>
      <c r="I9" s="209" t="s">
        <v>303</v>
      </c>
      <c r="J9" s="209" t="s">
        <v>302</v>
      </c>
      <c r="K9" s="209" t="s">
        <v>303</v>
      </c>
      <c r="L9" s="209" t="s">
        <v>302</v>
      </c>
      <c r="M9" s="209" t="s">
        <v>303</v>
      </c>
      <c r="N9" s="209" t="s">
        <v>302</v>
      </c>
      <c r="O9" s="209" t="s">
        <v>303</v>
      </c>
      <c r="P9" s="49"/>
      <c r="Q9" s="49"/>
    </row>
    <row r="10">
      <c r="A10" s="49"/>
      <c r="B10" s="214"/>
      <c r="C10" s="214"/>
      <c r="D10" s="214"/>
      <c r="E10" s="214"/>
      <c r="F10" s="214"/>
      <c r="G10" s="214"/>
      <c r="H10" s="214"/>
      <c r="I10" s="214"/>
      <c r="J10" s="214"/>
      <c r="K10" s="214"/>
      <c r="L10" s="214"/>
      <c r="M10" s="215"/>
      <c r="N10" s="214"/>
      <c r="O10" s="214"/>
      <c r="P10" s="3"/>
      <c r="Q10" s="3"/>
    </row>
    <row r="11">
      <c r="A11" s="216"/>
      <c r="B11" s="217" t="s">
        <v>305</v>
      </c>
      <c r="C11" s="24"/>
      <c r="D11" s="217" t="s">
        <v>305</v>
      </c>
      <c r="E11" s="24"/>
      <c r="F11" s="217" t="s">
        <v>305</v>
      </c>
      <c r="G11" s="24"/>
      <c r="H11" s="217" t="s">
        <v>305</v>
      </c>
      <c r="I11" s="24"/>
      <c r="J11" s="217" t="s">
        <v>305</v>
      </c>
      <c r="K11" s="24"/>
      <c r="L11" s="217" t="s">
        <v>305</v>
      </c>
      <c r="M11" s="24"/>
      <c r="N11" s="217" t="s">
        <v>305</v>
      </c>
      <c r="O11" s="24"/>
      <c r="P11" s="218" t="s">
        <v>306</v>
      </c>
      <c r="Q11" s="24"/>
    </row>
    <row r="12">
      <c r="A12" s="49"/>
      <c r="B12" s="219"/>
      <c r="C12" s="24"/>
      <c r="D12" s="219"/>
      <c r="E12" s="24"/>
      <c r="F12" s="219"/>
      <c r="G12" s="24"/>
      <c r="H12" s="219"/>
      <c r="I12" s="24"/>
      <c r="J12" s="219"/>
      <c r="K12" s="24"/>
      <c r="L12" s="219"/>
      <c r="M12" s="24"/>
      <c r="N12" s="219"/>
      <c r="O12" s="24"/>
      <c r="P12" s="219"/>
      <c r="Q12" s="24"/>
    </row>
    <row r="13">
      <c r="A13" s="49"/>
      <c r="B13" s="220" t="s">
        <v>307</v>
      </c>
      <c r="C13" s="221" t="b">
        <v>0</v>
      </c>
      <c r="D13" s="220" t="s">
        <v>307</v>
      </c>
      <c r="E13" s="223" t="b">
        <v>0</v>
      </c>
      <c r="F13" s="220" t="s">
        <v>307</v>
      </c>
      <c r="G13" s="223" t="b">
        <v>0</v>
      </c>
      <c r="H13" s="220" t="s">
        <v>307</v>
      </c>
      <c r="I13" s="223" t="b">
        <v>0</v>
      </c>
      <c r="J13" s="220" t="s">
        <v>307</v>
      </c>
      <c r="K13" s="223" t="b">
        <v>0</v>
      </c>
      <c r="L13" s="220" t="s">
        <v>307</v>
      </c>
      <c r="M13" s="223" t="b">
        <v>0</v>
      </c>
      <c r="N13" s="220" t="s">
        <v>307</v>
      </c>
      <c r="O13" s="223" t="b">
        <v>0</v>
      </c>
      <c r="P13" s="224">
        <f t="shared" ref="P13:P14" si="1">COUNTIF(B13:O13,True)/COUNTA(B13:O13)%/50</f>
        <v>0</v>
      </c>
      <c r="Q13" s="225" t="s">
        <v>308</v>
      </c>
    </row>
    <row r="14">
      <c r="A14" s="49"/>
      <c r="B14" s="220" t="s">
        <v>309</v>
      </c>
      <c r="C14" s="221" t="b">
        <v>0</v>
      </c>
      <c r="D14" s="220" t="s">
        <v>309</v>
      </c>
      <c r="E14" s="221" t="b">
        <v>0</v>
      </c>
      <c r="F14" s="220" t="s">
        <v>309</v>
      </c>
      <c r="G14" s="223" t="b">
        <v>0</v>
      </c>
      <c r="H14" s="220" t="s">
        <v>309</v>
      </c>
      <c r="I14" s="223" t="b">
        <v>0</v>
      </c>
      <c r="J14" s="220" t="s">
        <v>309</v>
      </c>
      <c r="K14" s="223" t="b">
        <v>0</v>
      </c>
      <c r="L14" s="220" t="s">
        <v>309</v>
      </c>
      <c r="M14" s="223" t="b">
        <v>0</v>
      </c>
      <c r="N14" s="220" t="s">
        <v>309</v>
      </c>
      <c r="O14" s="223" t="b">
        <v>0</v>
      </c>
      <c r="P14" s="224">
        <f t="shared" si="1"/>
        <v>0</v>
      </c>
      <c r="Q14" s="3"/>
    </row>
    <row r="15">
      <c r="A15" s="49"/>
      <c r="B15" s="226" t="s">
        <v>310</v>
      </c>
      <c r="C15" s="227"/>
      <c r="D15" s="226" t="s">
        <v>310</v>
      </c>
      <c r="E15" s="227"/>
      <c r="F15" s="226" t="s">
        <v>310</v>
      </c>
      <c r="G15" s="227"/>
      <c r="H15" s="226" t="s">
        <v>310</v>
      </c>
      <c r="I15" s="227"/>
      <c r="J15" s="226" t="s">
        <v>310</v>
      </c>
      <c r="K15" s="227"/>
      <c r="L15" s="226" t="s">
        <v>310</v>
      </c>
      <c r="M15" s="227"/>
      <c r="N15" s="226" t="s">
        <v>310</v>
      </c>
      <c r="O15" s="227"/>
      <c r="P15" s="228">
        <f>COUNTIF(B15:O15,"Yes")</f>
        <v>0</v>
      </c>
      <c r="Q15" s="229" t="s">
        <v>311</v>
      </c>
    </row>
    <row r="16">
      <c r="A16" s="3"/>
      <c r="B16" s="230" t="s">
        <v>312</v>
      </c>
      <c r="C16" s="231"/>
      <c r="D16" s="230" t="s">
        <v>312</v>
      </c>
      <c r="E16" s="231"/>
      <c r="F16" s="230" t="s">
        <v>312</v>
      </c>
      <c r="G16" s="231"/>
      <c r="H16" s="230" t="s">
        <v>312</v>
      </c>
      <c r="I16" s="231"/>
      <c r="J16" s="230" t="s">
        <v>312</v>
      </c>
      <c r="K16" s="231"/>
      <c r="L16" s="230" t="s">
        <v>312</v>
      </c>
      <c r="M16" s="231"/>
      <c r="N16" s="230" t="s">
        <v>312</v>
      </c>
      <c r="O16" s="231"/>
      <c r="P16" s="232">
        <f>SUM(C16,E16,G16,I16,K16,M16,O16)/7</f>
        <v>0</v>
      </c>
      <c r="Q16" s="230" t="s">
        <v>313</v>
      </c>
    </row>
    <row r="17" ht="10.5" customHeight="1">
      <c r="A17" s="233"/>
      <c r="B17" s="55"/>
      <c r="C17" s="55"/>
      <c r="D17" s="55"/>
      <c r="E17" s="55"/>
      <c r="F17" s="55"/>
      <c r="G17" s="55"/>
      <c r="H17" s="55"/>
      <c r="I17" s="55"/>
      <c r="J17" s="55"/>
      <c r="K17" s="55"/>
      <c r="L17" s="55"/>
      <c r="M17" s="55"/>
      <c r="N17" s="55"/>
      <c r="O17" s="55"/>
      <c r="P17" s="55"/>
      <c r="Q17" s="54"/>
    </row>
    <row r="18">
      <c r="A18" s="204"/>
      <c r="B18" s="240">
        <v>46209.0</v>
      </c>
      <c r="C18" s="24"/>
      <c r="D18" s="240">
        <v>46210.0</v>
      </c>
      <c r="E18" s="24"/>
      <c r="F18" s="240">
        <v>46211.0</v>
      </c>
      <c r="G18" s="24"/>
      <c r="H18" s="240">
        <v>46212.0</v>
      </c>
      <c r="I18" s="24"/>
      <c r="J18" s="240">
        <v>46213.0</v>
      </c>
      <c r="K18" s="24"/>
      <c r="L18" s="240">
        <v>46214.0</v>
      </c>
      <c r="M18" s="24"/>
      <c r="N18" s="240">
        <v>46215.0</v>
      </c>
      <c r="O18" s="24"/>
      <c r="P18" s="206">
        <f>SUM(B19,D19,F19,H19,J19,L19,N19)</f>
        <v>0</v>
      </c>
      <c r="Q18" s="207"/>
    </row>
    <row r="19">
      <c r="A19" s="49"/>
      <c r="B19" s="210"/>
      <c r="C19" s="209" t="s">
        <v>295</v>
      </c>
      <c r="D19" s="210"/>
      <c r="E19" s="209" t="s">
        <v>295</v>
      </c>
      <c r="F19" s="210"/>
      <c r="G19" s="209" t="s">
        <v>295</v>
      </c>
      <c r="H19" s="210"/>
      <c r="I19" s="209" t="s">
        <v>295</v>
      </c>
      <c r="J19" s="210"/>
      <c r="K19" s="209" t="s">
        <v>295</v>
      </c>
      <c r="L19" s="210"/>
      <c r="M19" s="209" t="s">
        <v>295</v>
      </c>
      <c r="N19" s="210"/>
      <c r="O19" s="209" t="s">
        <v>295</v>
      </c>
      <c r="P19" s="49"/>
      <c r="Q19" s="49"/>
    </row>
    <row r="20">
      <c r="A20" s="49"/>
      <c r="B20" s="213"/>
      <c r="C20" s="212"/>
      <c r="D20" s="213"/>
      <c r="E20" s="212"/>
      <c r="F20" s="213"/>
      <c r="G20" s="212"/>
      <c r="H20" s="213"/>
      <c r="I20" s="212"/>
      <c r="J20" s="213"/>
      <c r="K20" s="212"/>
      <c r="L20" s="213"/>
      <c r="M20" s="212"/>
      <c r="N20" s="213"/>
      <c r="O20" s="212"/>
      <c r="P20" s="49"/>
      <c r="Q20" s="49"/>
    </row>
    <row r="21">
      <c r="A21" s="49"/>
      <c r="B21" s="209" t="s">
        <v>302</v>
      </c>
      <c r="C21" s="209" t="s">
        <v>303</v>
      </c>
      <c r="D21" s="209" t="s">
        <v>302</v>
      </c>
      <c r="E21" s="209" t="s">
        <v>303</v>
      </c>
      <c r="F21" s="209" t="s">
        <v>302</v>
      </c>
      <c r="G21" s="209" t="s">
        <v>303</v>
      </c>
      <c r="H21" s="209" t="s">
        <v>302</v>
      </c>
      <c r="I21" s="209" t="s">
        <v>303</v>
      </c>
      <c r="J21" s="209" t="s">
        <v>302</v>
      </c>
      <c r="K21" s="209" t="s">
        <v>303</v>
      </c>
      <c r="L21" s="209" t="s">
        <v>302</v>
      </c>
      <c r="M21" s="209" t="s">
        <v>303</v>
      </c>
      <c r="N21" s="209" t="s">
        <v>302</v>
      </c>
      <c r="O21" s="209" t="s">
        <v>303</v>
      </c>
      <c r="P21" s="49"/>
      <c r="Q21" s="49"/>
    </row>
    <row r="22">
      <c r="A22" s="49"/>
      <c r="B22" s="214"/>
      <c r="C22" s="214"/>
      <c r="D22" s="214"/>
      <c r="E22" s="214"/>
      <c r="F22" s="214"/>
      <c r="G22" s="214"/>
      <c r="H22" s="214"/>
      <c r="I22" s="214"/>
      <c r="J22" s="214"/>
      <c r="K22" s="214"/>
      <c r="L22" s="214"/>
      <c r="M22" s="215"/>
      <c r="N22" s="214"/>
      <c r="O22" s="214"/>
      <c r="P22" s="3"/>
      <c r="Q22" s="3"/>
    </row>
    <row r="23">
      <c r="A23" s="216"/>
      <c r="B23" s="217" t="s">
        <v>305</v>
      </c>
      <c r="C23" s="24"/>
      <c r="D23" s="217" t="s">
        <v>305</v>
      </c>
      <c r="E23" s="24"/>
      <c r="F23" s="217" t="s">
        <v>305</v>
      </c>
      <c r="G23" s="24"/>
      <c r="H23" s="217" t="s">
        <v>305</v>
      </c>
      <c r="I23" s="24"/>
      <c r="J23" s="217" t="s">
        <v>305</v>
      </c>
      <c r="K23" s="24"/>
      <c r="L23" s="217" t="s">
        <v>305</v>
      </c>
      <c r="M23" s="24"/>
      <c r="N23" s="217" t="s">
        <v>305</v>
      </c>
      <c r="O23" s="24"/>
      <c r="P23" s="218" t="s">
        <v>306</v>
      </c>
      <c r="Q23" s="24"/>
    </row>
    <row r="24">
      <c r="A24" s="49"/>
      <c r="B24" s="219"/>
      <c r="C24" s="24"/>
      <c r="D24" s="219"/>
      <c r="E24" s="24"/>
      <c r="F24" s="219"/>
      <c r="G24" s="24"/>
      <c r="H24" s="219"/>
      <c r="I24" s="24"/>
      <c r="J24" s="219"/>
      <c r="K24" s="24"/>
      <c r="L24" s="219"/>
      <c r="M24" s="24"/>
      <c r="N24" s="219"/>
      <c r="O24" s="24"/>
      <c r="P24" s="219"/>
      <c r="Q24" s="24"/>
    </row>
    <row r="25">
      <c r="A25" s="49"/>
      <c r="B25" s="220" t="s">
        <v>307</v>
      </c>
      <c r="C25" s="221" t="b">
        <v>0</v>
      </c>
      <c r="D25" s="220" t="s">
        <v>307</v>
      </c>
      <c r="E25" s="223" t="b">
        <v>0</v>
      </c>
      <c r="F25" s="220" t="s">
        <v>307</v>
      </c>
      <c r="G25" s="223" t="b">
        <v>0</v>
      </c>
      <c r="H25" s="220" t="s">
        <v>307</v>
      </c>
      <c r="I25" s="223" t="b">
        <v>0</v>
      </c>
      <c r="J25" s="220" t="s">
        <v>307</v>
      </c>
      <c r="K25" s="223" t="b">
        <v>0</v>
      </c>
      <c r="L25" s="220" t="s">
        <v>307</v>
      </c>
      <c r="M25" s="223" t="b">
        <v>0</v>
      </c>
      <c r="N25" s="220" t="s">
        <v>307</v>
      </c>
      <c r="O25" s="223" t="b">
        <v>0</v>
      </c>
      <c r="P25" s="224">
        <f t="shared" ref="P25:P26" si="2">COUNTIF(B25:O25,True)/COUNTA(B25:O25)%/50</f>
        <v>0</v>
      </c>
      <c r="Q25" s="225" t="s">
        <v>308</v>
      </c>
    </row>
    <row r="26">
      <c r="A26" s="49"/>
      <c r="B26" s="220" t="s">
        <v>309</v>
      </c>
      <c r="C26" s="221" t="b">
        <v>0</v>
      </c>
      <c r="D26" s="220" t="s">
        <v>309</v>
      </c>
      <c r="E26" s="221" t="b">
        <v>0</v>
      </c>
      <c r="F26" s="220" t="s">
        <v>309</v>
      </c>
      <c r="G26" s="223" t="b">
        <v>0</v>
      </c>
      <c r="H26" s="220" t="s">
        <v>309</v>
      </c>
      <c r="I26" s="223" t="b">
        <v>0</v>
      </c>
      <c r="J26" s="220" t="s">
        <v>309</v>
      </c>
      <c r="K26" s="223" t="b">
        <v>0</v>
      </c>
      <c r="L26" s="220" t="s">
        <v>309</v>
      </c>
      <c r="M26" s="223" t="b">
        <v>0</v>
      </c>
      <c r="N26" s="220" t="s">
        <v>309</v>
      </c>
      <c r="O26" s="223" t="b">
        <v>0</v>
      </c>
      <c r="P26" s="224">
        <f t="shared" si="2"/>
        <v>0</v>
      </c>
      <c r="Q26" s="3"/>
    </row>
    <row r="27">
      <c r="A27" s="49"/>
      <c r="B27" s="226" t="s">
        <v>310</v>
      </c>
      <c r="C27" s="227"/>
      <c r="D27" s="226" t="s">
        <v>310</v>
      </c>
      <c r="E27" s="227"/>
      <c r="F27" s="226" t="s">
        <v>310</v>
      </c>
      <c r="G27" s="227"/>
      <c r="H27" s="226" t="s">
        <v>310</v>
      </c>
      <c r="I27" s="227"/>
      <c r="J27" s="226" t="s">
        <v>310</v>
      </c>
      <c r="K27" s="227"/>
      <c r="L27" s="226" t="s">
        <v>310</v>
      </c>
      <c r="M27" s="227"/>
      <c r="N27" s="226" t="s">
        <v>310</v>
      </c>
      <c r="O27" s="227"/>
      <c r="P27" s="228">
        <f>COUNTIF(B27:O27,"Yes")</f>
        <v>0</v>
      </c>
      <c r="Q27" s="229" t="s">
        <v>311</v>
      </c>
    </row>
    <row r="28">
      <c r="A28" s="3"/>
      <c r="B28" s="230" t="s">
        <v>312</v>
      </c>
      <c r="C28" s="231"/>
      <c r="D28" s="230" t="s">
        <v>312</v>
      </c>
      <c r="E28" s="231"/>
      <c r="F28" s="230" t="s">
        <v>312</v>
      </c>
      <c r="G28" s="231"/>
      <c r="H28" s="230" t="s">
        <v>312</v>
      </c>
      <c r="I28" s="231"/>
      <c r="J28" s="230" t="s">
        <v>312</v>
      </c>
      <c r="K28" s="231"/>
      <c r="L28" s="230" t="s">
        <v>312</v>
      </c>
      <c r="M28" s="231"/>
      <c r="N28" s="230" t="s">
        <v>312</v>
      </c>
      <c r="O28" s="231"/>
      <c r="P28" s="232">
        <f>SUM(C28,E28,G28,I28,K28,M28,O28)/7</f>
        <v>0</v>
      </c>
      <c r="Q28" s="230" t="s">
        <v>313</v>
      </c>
    </row>
    <row r="29" ht="10.5" customHeight="1">
      <c r="A29" s="233"/>
      <c r="B29" s="55"/>
      <c r="C29" s="55"/>
      <c r="D29" s="55"/>
      <c r="E29" s="55"/>
      <c r="F29" s="55"/>
      <c r="G29" s="55"/>
      <c r="H29" s="55"/>
      <c r="I29" s="55"/>
      <c r="J29" s="55"/>
      <c r="K29" s="55"/>
      <c r="L29" s="55"/>
      <c r="M29" s="55"/>
      <c r="N29" s="55"/>
      <c r="O29" s="55"/>
      <c r="P29" s="55"/>
      <c r="Q29" s="54"/>
    </row>
    <row r="30">
      <c r="A30" s="204"/>
      <c r="B30" s="240">
        <v>46216.0</v>
      </c>
      <c r="C30" s="24"/>
      <c r="D30" s="240">
        <v>46217.0</v>
      </c>
      <c r="E30" s="24"/>
      <c r="F30" s="240">
        <v>46218.0</v>
      </c>
      <c r="G30" s="24"/>
      <c r="H30" s="240">
        <v>46219.0</v>
      </c>
      <c r="I30" s="24"/>
      <c r="J30" s="240">
        <v>46220.0</v>
      </c>
      <c r="K30" s="24"/>
      <c r="L30" s="240">
        <v>46221.0</v>
      </c>
      <c r="M30" s="24"/>
      <c r="N30" s="240">
        <v>46222.0</v>
      </c>
      <c r="O30" s="24"/>
      <c r="P30" s="206">
        <f>SUM(B31,D31,F31,H31,J31,L31,N31)</f>
        <v>0</v>
      </c>
      <c r="Q30" s="207"/>
    </row>
    <row r="31">
      <c r="A31" s="49"/>
      <c r="B31" s="210"/>
      <c r="C31" s="209" t="s">
        <v>295</v>
      </c>
      <c r="D31" s="210"/>
      <c r="E31" s="209" t="s">
        <v>295</v>
      </c>
      <c r="F31" s="210"/>
      <c r="G31" s="209" t="s">
        <v>295</v>
      </c>
      <c r="H31" s="210"/>
      <c r="I31" s="209" t="s">
        <v>295</v>
      </c>
      <c r="J31" s="210"/>
      <c r="K31" s="209" t="s">
        <v>295</v>
      </c>
      <c r="L31" s="210"/>
      <c r="M31" s="209" t="s">
        <v>295</v>
      </c>
      <c r="N31" s="210"/>
      <c r="O31" s="209" t="s">
        <v>295</v>
      </c>
      <c r="P31" s="49"/>
      <c r="Q31" s="49"/>
    </row>
    <row r="32">
      <c r="A32" s="49"/>
      <c r="B32" s="213"/>
      <c r="C32" s="212"/>
      <c r="D32" s="213"/>
      <c r="E32" s="212"/>
      <c r="F32" s="213"/>
      <c r="G32" s="212"/>
      <c r="H32" s="213"/>
      <c r="I32" s="212"/>
      <c r="J32" s="213"/>
      <c r="K32" s="212"/>
      <c r="L32" s="213"/>
      <c r="M32" s="212"/>
      <c r="N32" s="213"/>
      <c r="O32" s="212"/>
      <c r="P32" s="49"/>
      <c r="Q32" s="49"/>
    </row>
    <row r="33">
      <c r="A33" s="49"/>
      <c r="B33" s="209" t="s">
        <v>302</v>
      </c>
      <c r="C33" s="209" t="s">
        <v>303</v>
      </c>
      <c r="D33" s="209" t="s">
        <v>302</v>
      </c>
      <c r="E33" s="209" t="s">
        <v>303</v>
      </c>
      <c r="F33" s="209" t="s">
        <v>302</v>
      </c>
      <c r="G33" s="209" t="s">
        <v>303</v>
      </c>
      <c r="H33" s="209" t="s">
        <v>302</v>
      </c>
      <c r="I33" s="209" t="s">
        <v>303</v>
      </c>
      <c r="J33" s="209" t="s">
        <v>302</v>
      </c>
      <c r="K33" s="209" t="s">
        <v>303</v>
      </c>
      <c r="L33" s="209" t="s">
        <v>302</v>
      </c>
      <c r="M33" s="209" t="s">
        <v>303</v>
      </c>
      <c r="N33" s="209" t="s">
        <v>302</v>
      </c>
      <c r="O33" s="209" t="s">
        <v>303</v>
      </c>
      <c r="P33" s="49"/>
      <c r="Q33" s="49"/>
    </row>
    <row r="34">
      <c r="A34" s="49"/>
      <c r="B34" s="214"/>
      <c r="C34" s="214"/>
      <c r="D34" s="214"/>
      <c r="E34" s="214"/>
      <c r="F34" s="214"/>
      <c r="G34" s="214"/>
      <c r="H34" s="214"/>
      <c r="I34" s="214"/>
      <c r="J34" s="214"/>
      <c r="K34" s="214"/>
      <c r="L34" s="214"/>
      <c r="M34" s="215"/>
      <c r="N34" s="214"/>
      <c r="O34" s="214"/>
      <c r="P34" s="3"/>
      <c r="Q34" s="3"/>
    </row>
    <row r="35">
      <c r="A35" s="216"/>
      <c r="B35" s="217" t="s">
        <v>305</v>
      </c>
      <c r="C35" s="24"/>
      <c r="D35" s="217" t="s">
        <v>305</v>
      </c>
      <c r="E35" s="24"/>
      <c r="F35" s="217" t="s">
        <v>305</v>
      </c>
      <c r="G35" s="24"/>
      <c r="H35" s="217" t="s">
        <v>305</v>
      </c>
      <c r="I35" s="24"/>
      <c r="J35" s="217" t="s">
        <v>305</v>
      </c>
      <c r="K35" s="24"/>
      <c r="L35" s="217" t="s">
        <v>305</v>
      </c>
      <c r="M35" s="24"/>
      <c r="N35" s="217" t="s">
        <v>305</v>
      </c>
      <c r="O35" s="24"/>
      <c r="P35" s="218" t="s">
        <v>306</v>
      </c>
      <c r="Q35" s="24"/>
    </row>
    <row r="36">
      <c r="A36" s="49"/>
      <c r="B36" s="219"/>
      <c r="C36" s="24"/>
      <c r="D36" s="219"/>
      <c r="E36" s="24"/>
      <c r="F36" s="219"/>
      <c r="G36" s="24"/>
      <c r="H36" s="219"/>
      <c r="I36" s="24"/>
      <c r="J36" s="219"/>
      <c r="K36" s="24"/>
      <c r="L36" s="219"/>
      <c r="M36" s="24"/>
      <c r="N36" s="219"/>
      <c r="O36" s="24"/>
      <c r="P36" s="219"/>
      <c r="Q36" s="24"/>
    </row>
    <row r="37">
      <c r="A37" s="49"/>
      <c r="B37" s="220" t="s">
        <v>307</v>
      </c>
      <c r="C37" s="221" t="b">
        <v>0</v>
      </c>
      <c r="D37" s="220" t="s">
        <v>307</v>
      </c>
      <c r="E37" s="223" t="b">
        <v>0</v>
      </c>
      <c r="F37" s="220" t="s">
        <v>307</v>
      </c>
      <c r="G37" s="223" t="b">
        <v>0</v>
      </c>
      <c r="H37" s="220" t="s">
        <v>307</v>
      </c>
      <c r="I37" s="223" t="b">
        <v>0</v>
      </c>
      <c r="J37" s="220" t="s">
        <v>307</v>
      </c>
      <c r="K37" s="223" t="b">
        <v>0</v>
      </c>
      <c r="L37" s="220" t="s">
        <v>307</v>
      </c>
      <c r="M37" s="223" t="b">
        <v>0</v>
      </c>
      <c r="N37" s="220" t="s">
        <v>307</v>
      </c>
      <c r="O37" s="223" t="b">
        <v>0</v>
      </c>
      <c r="P37" s="224">
        <f t="shared" ref="P37:P38" si="3">COUNTIF(B37:O37,True)/COUNTA(B37:O37)%/50</f>
        <v>0</v>
      </c>
      <c r="Q37" s="225" t="s">
        <v>308</v>
      </c>
    </row>
    <row r="38">
      <c r="A38" s="49"/>
      <c r="B38" s="220" t="s">
        <v>309</v>
      </c>
      <c r="C38" s="221" t="b">
        <v>0</v>
      </c>
      <c r="D38" s="220" t="s">
        <v>309</v>
      </c>
      <c r="E38" s="221" t="b">
        <v>0</v>
      </c>
      <c r="F38" s="220" t="s">
        <v>309</v>
      </c>
      <c r="G38" s="223" t="b">
        <v>0</v>
      </c>
      <c r="H38" s="220" t="s">
        <v>309</v>
      </c>
      <c r="I38" s="223" t="b">
        <v>0</v>
      </c>
      <c r="J38" s="220" t="s">
        <v>309</v>
      </c>
      <c r="K38" s="223" t="b">
        <v>0</v>
      </c>
      <c r="L38" s="220" t="s">
        <v>309</v>
      </c>
      <c r="M38" s="223" t="b">
        <v>0</v>
      </c>
      <c r="N38" s="220" t="s">
        <v>309</v>
      </c>
      <c r="O38" s="223" t="b">
        <v>0</v>
      </c>
      <c r="P38" s="224">
        <f t="shared" si="3"/>
        <v>0</v>
      </c>
      <c r="Q38" s="3"/>
    </row>
    <row r="39">
      <c r="A39" s="49"/>
      <c r="B39" s="226" t="s">
        <v>310</v>
      </c>
      <c r="C39" s="227"/>
      <c r="D39" s="226" t="s">
        <v>310</v>
      </c>
      <c r="E39" s="227"/>
      <c r="F39" s="226" t="s">
        <v>310</v>
      </c>
      <c r="G39" s="227"/>
      <c r="H39" s="226" t="s">
        <v>310</v>
      </c>
      <c r="I39" s="227"/>
      <c r="J39" s="226" t="s">
        <v>310</v>
      </c>
      <c r="K39" s="227"/>
      <c r="L39" s="226" t="s">
        <v>310</v>
      </c>
      <c r="M39" s="227"/>
      <c r="N39" s="226" t="s">
        <v>310</v>
      </c>
      <c r="O39" s="227"/>
      <c r="P39" s="228">
        <f>COUNTIF(B39:O39,"Yes")</f>
        <v>0</v>
      </c>
      <c r="Q39" s="229" t="s">
        <v>311</v>
      </c>
    </row>
    <row r="40">
      <c r="A40" s="3"/>
      <c r="B40" s="230" t="s">
        <v>312</v>
      </c>
      <c r="C40" s="231"/>
      <c r="D40" s="230" t="s">
        <v>312</v>
      </c>
      <c r="E40" s="231"/>
      <c r="F40" s="230" t="s">
        <v>312</v>
      </c>
      <c r="G40" s="231"/>
      <c r="H40" s="230" t="s">
        <v>312</v>
      </c>
      <c r="I40" s="231"/>
      <c r="J40" s="230" t="s">
        <v>312</v>
      </c>
      <c r="K40" s="231"/>
      <c r="L40" s="230" t="s">
        <v>312</v>
      </c>
      <c r="M40" s="231"/>
      <c r="N40" s="230" t="s">
        <v>312</v>
      </c>
      <c r="O40" s="231"/>
      <c r="P40" s="232">
        <f>SUM(C40,E40,G40,I40,K40,M40,O40)/7</f>
        <v>0</v>
      </c>
      <c r="Q40" s="230" t="s">
        <v>313</v>
      </c>
    </row>
    <row r="41" ht="10.5" customHeight="1">
      <c r="A41" s="233"/>
      <c r="B41" s="55"/>
      <c r="C41" s="55"/>
      <c r="D41" s="55"/>
      <c r="E41" s="55"/>
      <c r="F41" s="55"/>
      <c r="G41" s="55"/>
      <c r="H41" s="55"/>
      <c r="I41" s="55"/>
      <c r="J41" s="55"/>
      <c r="K41" s="55"/>
      <c r="L41" s="55"/>
      <c r="M41" s="55"/>
      <c r="N41" s="55"/>
      <c r="O41" s="55"/>
      <c r="P41" s="55"/>
      <c r="Q41" s="54"/>
    </row>
    <row r="42">
      <c r="A42" s="204"/>
      <c r="B42" s="240">
        <v>46223.0</v>
      </c>
      <c r="C42" s="24"/>
      <c r="D42" s="240">
        <v>46224.0</v>
      </c>
      <c r="E42" s="24"/>
      <c r="F42" s="240">
        <v>46225.0</v>
      </c>
      <c r="G42" s="24"/>
      <c r="H42" s="240">
        <v>46226.0</v>
      </c>
      <c r="I42" s="24"/>
      <c r="J42" s="240">
        <v>46227.0</v>
      </c>
      <c r="K42" s="24"/>
      <c r="L42" s="240">
        <v>46228.0</v>
      </c>
      <c r="M42" s="24"/>
      <c r="N42" s="240">
        <v>46229.0</v>
      </c>
      <c r="O42" s="24"/>
      <c r="P42" s="206">
        <f>SUM(B43,D43,F43,H43,J43,L43,N43)</f>
        <v>0</v>
      </c>
      <c r="Q42" s="207"/>
    </row>
    <row r="43">
      <c r="A43" s="49"/>
      <c r="B43" s="210"/>
      <c r="C43" s="209" t="s">
        <v>295</v>
      </c>
      <c r="D43" s="210"/>
      <c r="E43" s="209" t="s">
        <v>295</v>
      </c>
      <c r="F43" s="210"/>
      <c r="G43" s="209" t="s">
        <v>295</v>
      </c>
      <c r="H43" s="210"/>
      <c r="I43" s="209" t="s">
        <v>295</v>
      </c>
      <c r="J43" s="210"/>
      <c r="K43" s="209" t="s">
        <v>295</v>
      </c>
      <c r="L43" s="210"/>
      <c r="M43" s="209" t="s">
        <v>295</v>
      </c>
      <c r="N43" s="210"/>
      <c r="O43" s="209" t="s">
        <v>295</v>
      </c>
      <c r="P43" s="49"/>
      <c r="Q43" s="49"/>
    </row>
    <row r="44">
      <c r="A44" s="49"/>
      <c r="B44" s="213"/>
      <c r="C44" s="212"/>
      <c r="D44" s="213"/>
      <c r="E44" s="212"/>
      <c r="F44" s="213"/>
      <c r="G44" s="212"/>
      <c r="H44" s="213"/>
      <c r="I44" s="212"/>
      <c r="J44" s="213"/>
      <c r="K44" s="212"/>
      <c r="L44" s="213"/>
      <c r="M44" s="212"/>
      <c r="N44" s="213"/>
      <c r="O44" s="212"/>
      <c r="P44" s="49"/>
      <c r="Q44" s="49"/>
    </row>
    <row r="45">
      <c r="A45" s="49"/>
      <c r="B45" s="209" t="s">
        <v>302</v>
      </c>
      <c r="C45" s="209" t="s">
        <v>303</v>
      </c>
      <c r="D45" s="209" t="s">
        <v>302</v>
      </c>
      <c r="E45" s="209" t="s">
        <v>303</v>
      </c>
      <c r="F45" s="209" t="s">
        <v>302</v>
      </c>
      <c r="G45" s="209" t="s">
        <v>303</v>
      </c>
      <c r="H45" s="209" t="s">
        <v>302</v>
      </c>
      <c r="I45" s="209" t="s">
        <v>303</v>
      </c>
      <c r="J45" s="209" t="s">
        <v>302</v>
      </c>
      <c r="K45" s="209" t="s">
        <v>303</v>
      </c>
      <c r="L45" s="209" t="s">
        <v>302</v>
      </c>
      <c r="M45" s="209" t="s">
        <v>303</v>
      </c>
      <c r="N45" s="209" t="s">
        <v>302</v>
      </c>
      <c r="O45" s="209" t="s">
        <v>303</v>
      </c>
      <c r="P45" s="49"/>
      <c r="Q45" s="49"/>
    </row>
    <row r="46">
      <c r="A46" s="49"/>
      <c r="B46" s="214"/>
      <c r="C46" s="214"/>
      <c r="D46" s="214"/>
      <c r="E46" s="214"/>
      <c r="F46" s="214"/>
      <c r="G46" s="214"/>
      <c r="H46" s="214"/>
      <c r="I46" s="214"/>
      <c r="J46" s="214"/>
      <c r="K46" s="214"/>
      <c r="L46" s="214"/>
      <c r="M46" s="215"/>
      <c r="N46" s="214"/>
      <c r="O46" s="214"/>
      <c r="P46" s="3"/>
      <c r="Q46" s="3"/>
    </row>
    <row r="47">
      <c r="A47" s="216"/>
      <c r="B47" s="217" t="s">
        <v>305</v>
      </c>
      <c r="C47" s="24"/>
      <c r="D47" s="217" t="s">
        <v>305</v>
      </c>
      <c r="E47" s="24"/>
      <c r="F47" s="217" t="s">
        <v>305</v>
      </c>
      <c r="G47" s="24"/>
      <c r="H47" s="217" t="s">
        <v>305</v>
      </c>
      <c r="I47" s="24"/>
      <c r="J47" s="217" t="s">
        <v>305</v>
      </c>
      <c r="K47" s="24"/>
      <c r="L47" s="217" t="s">
        <v>305</v>
      </c>
      <c r="M47" s="24"/>
      <c r="N47" s="217" t="s">
        <v>305</v>
      </c>
      <c r="O47" s="24"/>
      <c r="P47" s="218" t="s">
        <v>306</v>
      </c>
      <c r="Q47" s="24"/>
    </row>
    <row r="48">
      <c r="A48" s="49"/>
      <c r="B48" s="219"/>
      <c r="C48" s="24"/>
      <c r="D48" s="219"/>
      <c r="E48" s="24"/>
      <c r="F48" s="219"/>
      <c r="G48" s="24"/>
      <c r="H48" s="219"/>
      <c r="I48" s="24"/>
      <c r="J48" s="219"/>
      <c r="K48" s="24"/>
      <c r="L48" s="219"/>
      <c r="M48" s="24"/>
      <c r="N48" s="219"/>
      <c r="O48" s="24"/>
      <c r="P48" s="219"/>
      <c r="Q48" s="24"/>
    </row>
    <row r="49">
      <c r="A49" s="49"/>
      <c r="B49" s="220" t="s">
        <v>307</v>
      </c>
      <c r="C49" s="221" t="b">
        <v>0</v>
      </c>
      <c r="D49" s="220" t="s">
        <v>307</v>
      </c>
      <c r="E49" s="223" t="b">
        <v>0</v>
      </c>
      <c r="F49" s="220" t="s">
        <v>307</v>
      </c>
      <c r="G49" s="221" t="b">
        <v>0</v>
      </c>
      <c r="H49" s="220" t="s">
        <v>307</v>
      </c>
      <c r="I49" s="223" t="b">
        <v>0</v>
      </c>
      <c r="J49" s="220" t="s">
        <v>307</v>
      </c>
      <c r="K49" s="223" t="b">
        <v>0</v>
      </c>
      <c r="L49" s="220" t="s">
        <v>307</v>
      </c>
      <c r="M49" s="223" t="b">
        <v>0</v>
      </c>
      <c r="N49" s="220" t="s">
        <v>307</v>
      </c>
      <c r="O49" s="223" t="b">
        <v>0</v>
      </c>
      <c r="P49" s="224">
        <f t="shared" ref="P49:P50" si="4">COUNTIF(B49:O49,True)/COUNTA(B49:O49)%/50</f>
        <v>0</v>
      </c>
      <c r="Q49" s="225" t="s">
        <v>308</v>
      </c>
    </row>
    <row r="50">
      <c r="A50" s="49"/>
      <c r="B50" s="220" t="s">
        <v>309</v>
      </c>
      <c r="C50" s="221" t="b">
        <v>0</v>
      </c>
      <c r="D50" s="220" t="s">
        <v>309</v>
      </c>
      <c r="E50" s="221" t="b">
        <v>0</v>
      </c>
      <c r="F50" s="220" t="s">
        <v>309</v>
      </c>
      <c r="G50" s="223" t="b">
        <v>0</v>
      </c>
      <c r="H50" s="220" t="s">
        <v>309</v>
      </c>
      <c r="I50" s="223" t="b">
        <v>0</v>
      </c>
      <c r="J50" s="220" t="s">
        <v>309</v>
      </c>
      <c r="K50" s="223" t="b">
        <v>0</v>
      </c>
      <c r="L50" s="220" t="s">
        <v>309</v>
      </c>
      <c r="M50" s="223" t="b">
        <v>0</v>
      </c>
      <c r="N50" s="220" t="s">
        <v>309</v>
      </c>
      <c r="O50" s="223" t="b">
        <v>0</v>
      </c>
      <c r="P50" s="224">
        <f t="shared" si="4"/>
        <v>0</v>
      </c>
      <c r="Q50" s="3"/>
    </row>
    <row r="51">
      <c r="A51" s="49"/>
      <c r="B51" s="226" t="s">
        <v>310</v>
      </c>
      <c r="C51" s="227"/>
      <c r="D51" s="226" t="s">
        <v>310</v>
      </c>
      <c r="E51" s="227"/>
      <c r="F51" s="226" t="s">
        <v>310</v>
      </c>
      <c r="G51" s="227"/>
      <c r="H51" s="226" t="s">
        <v>310</v>
      </c>
      <c r="I51" s="227"/>
      <c r="J51" s="226" t="s">
        <v>310</v>
      </c>
      <c r="K51" s="227"/>
      <c r="L51" s="226" t="s">
        <v>310</v>
      </c>
      <c r="M51" s="227"/>
      <c r="N51" s="226" t="s">
        <v>310</v>
      </c>
      <c r="O51" s="227"/>
      <c r="P51" s="228">
        <f>COUNTIF(B51:O51,"Yes")</f>
        <v>0</v>
      </c>
      <c r="Q51" s="229" t="s">
        <v>311</v>
      </c>
    </row>
    <row r="52">
      <c r="A52" s="3"/>
      <c r="B52" s="230" t="s">
        <v>312</v>
      </c>
      <c r="C52" s="231"/>
      <c r="D52" s="230" t="s">
        <v>312</v>
      </c>
      <c r="E52" s="231"/>
      <c r="F52" s="230" t="s">
        <v>312</v>
      </c>
      <c r="G52" s="231"/>
      <c r="H52" s="230" t="s">
        <v>312</v>
      </c>
      <c r="I52" s="231"/>
      <c r="J52" s="230" t="s">
        <v>312</v>
      </c>
      <c r="K52" s="231"/>
      <c r="L52" s="230" t="s">
        <v>312</v>
      </c>
      <c r="M52" s="231"/>
      <c r="N52" s="230" t="s">
        <v>312</v>
      </c>
      <c r="O52" s="231"/>
      <c r="P52" s="232">
        <f>SUM(C52,E52,G52,I52,K52,M52,O52)/7</f>
        <v>0</v>
      </c>
      <c r="Q52" s="230" t="s">
        <v>313</v>
      </c>
    </row>
    <row r="53" ht="10.5" customHeight="1">
      <c r="A53" s="233"/>
      <c r="B53" s="55"/>
      <c r="C53" s="55"/>
      <c r="D53" s="55"/>
      <c r="E53" s="55"/>
      <c r="F53" s="55"/>
      <c r="G53" s="55"/>
      <c r="H53" s="55"/>
      <c r="I53" s="55"/>
      <c r="J53" s="55"/>
      <c r="K53" s="55"/>
      <c r="L53" s="55"/>
      <c r="M53" s="55"/>
      <c r="N53" s="55"/>
      <c r="O53" s="55"/>
      <c r="P53" s="55"/>
      <c r="Q53" s="54"/>
    </row>
    <row r="54">
      <c r="A54" s="204"/>
      <c r="B54" s="240">
        <v>46230.0</v>
      </c>
      <c r="C54" s="24"/>
      <c r="D54" s="240">
        <v>46231.0</v>
      </c>
      <c r="E54" s="24"/>
      <c r="F54" s="240">
        <v>46232.0</v>
      </c>
      <c r="G54" s="24"/>
      <c r="H54" s="240">
        <v>46233.0</v>
      </c>
      <c r="I54" s="24"/>
      <c r="J54" s="240">
        <v>46234.0</v>
      </c>
      <c r="K54" s="24"/>
      <c r="L54" s="240">
        <v>46235.0</v>
      </c>
      <c r="M54" s="24"/>
      <c r="N54" s="240">
        <v>46236.0</v>
      </c>
      <c r="O54" s="24"/>
      <c r="P54" s="206">
        <f>SUM(B55,D55,F55,H55,J55,L55,N55)</f>
        <v>0</v>
      </c>
      <c r="Q54" s="207"/>
    </row>
    <row r="55">
      <c r="A55" s="49"/>
      <c r="B55" s="210"/>
      <c r="C55" s="209" t="s">
        <v>295</v>
      </c>
      <c r="D55" s="210"/>
      <c r="E55" s="209" t="s">
        <v>295</v>
      </c>
      <c r="F55" s="210"/>
      <c r="G55" s="209" t="s">
        <v>295</v>
      </c>
      <c r="H55" s="210"/>
      <c r="I55" s="209" t="s">
        <v>295</v>
      </c>
      <c r="J55" s="210"/>
      <c r="K55" s="209" t="s">
        <v>295</v>
      </c>
      <c r="L55" s="210"/>
      <c r="M55" s="209" t="s">
        <v>295</v>
      </c>
      <c r="N55" s="210"/>
      <c r="O55" s="209" t="s">
        <v>295</v>
      </c>
      <c r="P55" s="49"/>
      <c r="Q55" s="49"/>
    </row>
    <row r="56">
      <c r="A56" s="49"/>
      <c r="B56" s="213"/>
      <c r="C56" s="212"/>
      <c r="D56" s="213"/>
      <c r="E56" s="212"/>
      <c r="F56" s="213"/>
      <c r="G56" s="212"/>
      <c r="H56" s="213"/>
      <c r="I56" s="212"/>
      <c r="J56" s="213"/>
      <c r="K56" s="212"/>
      <c r="L56" s="213"/>
      <c r="M56" s="212"/>
      <c r="N56" s="213"/>
      <c r="O56" s="212"/>
      <c r="P56" s="49"/>
      <c r="Q56" s="49"/>
    </row>
    <row r="57">
      <c r="A57" s="49"/>
      <c r="B57" s="209" t="s">
        <v>302</v>
      </c>
      <c r="C57" s="209" t="s">
        <v>303</v>
      </c>
      <c r="D57" s="209" t="s">
        <v>302</v>
      </c>
      <c r="E57" s="209" t="s">
        <v>303</v>
      </c>
      <c r="F57" s="209" t="s">
        <v>302</v>
      </c>
      <c r="G57" s="209" t="s">
        <v>303</v>
      </c>
      <c r="H57" s="209" t="s">
        <v>302</v>
      </c>
      <c r="I57" s="209" t="s">
        <v>303</v>
      </c>
      <c r="J57" s="209" t="s">
        <v>302</v>
      </c>
      <c r="K57" s="209" t="s">
        <v>303</v>
      </c>
      <c r="L57" s="209" t="s">
        <v>302</v>
      </c>
      <c r="M57" s="209" t="s">
        <v>303</v>
      </c>
      <c r="N57" s="209" t="s">
        <v>302</v>
      </c>
      <c r="O57" s="209" t="s">
        <v>303</v>
      </c>
      <c r="P57" s="49"/>
      <c r="Q57" s="49"/>
    </row>
    <row r="58">
      <c r="A58" s="49"/>
      <c r="B58" s="214"/>
      <c r="C58" s="214"/>
      <c r="D58" s="214"/>
      <c r="E58" s="214"/>
      <c r="F58" s="214"/>
      <c r="G58" s="214"/>
      <c r="H58" s="214"/>
      <c r="I58" s="214"/>
      <c r="J58" s="214"/>
      <c r="K58" s="214"/>
      <c r="L58" s="214"/>
      <c r="M58" s="215"/>
      <c r="N58" s="214"/>
      <c r="O58" s="214"/>
      <c r="P58" s="3"/>
      <c r="Q58" s="3"/>
    </row>
    <row r="59">
      <c r="A59" s="216"/>
      <c r="B59" s="217" t="s">
        <v>305</v>
      </c>
      <c r="C59" s="24"/>
      <c r="D59" s="217" t="s">
        <v>305</v>
      </c>
      <c r="E59" s="24"/>
      <c r="F59" s="217" t="s">
        <v>305</v>
      </c>
      <c r="G59" s="24"/>
      <c r="H59" s="217" t="s">
        <v>305</v>
      </c>
      <c r="I59" s="24"/>
      <c r="J59" s="217" t="s">
        <v>305</v>
      </c>
      <c r="K59" s="24"/>
      <c r="L59" s="217" t="s">
        <v>305</v>
      </c>
      <c r="M59" s="24"/>
      <c r="N59" s="217" t="s">
        <v>305</v>
      </c>
      <c r="O59" s="24"/>
      <c r="P59" s="218" t="s">
        <v>306</v>
      </c>
      <c r="Q59" s="24"/>
    </row>
    <row r="60">
      <c r="A60" s="49"/>
      <c r="B60" s="219"/>
      <c r="C60" s="24"/>
      <c r="D60" s="219"/>
      <c r="E60" s="24"/>
      <c r="F60" s="219"/>
      <c r="G60" s="24"/>
      <c r="H60" s="219"/>
      <c r="I60" s="24"/>
      <c r="J60" s="219"/>
      <c r="K60" s="24"/>
      <c r="L60" s="219"/>
      <c r="M60" s="24"/>
      <c r="N60" s="219"/>
      <c r="O60" s="24"/>
      <c r="P60" s="219"/>
      <c r="Q60" s="24"/>
    </row>
    <row r="61">
      <c r="A61" s="49"/>
      <c r="B61" s="220" t="s">
        <v>307</v>
      </c>
      <c r="C61" s="221" t="b">
        <v>0</v>
      </c>
      <c r="D61" s="220" t="s">
        <v>307</v>
      </c>
      <c r="E61" s="223" t="b">
        <v>0</v>
      </c>
      <c r="F61" s="220" t="s">
        <v>307</v>
      </c>
      <c r="G61" s="223" t="b">
        <v>0</v>
      </c>
      <c r="H61" s="220" t="s">
        <v>307</v>
      </c>
      <c r="I61" s="223" t="b">
        <v>0</v>
      </c>
      <c r="J61" s="220" t="s">
        <v>307</v>
      </c>
      <c r="K61" s="223" t="b">
        <v>0</v>
      </c>
      <c r="L61" s="220" t="s">
        <v>307</v>
      </c>
      <c r="M61" s="223" t="b">
        <v>0</v>
      </c>
      <c r="N61" s="220" t="s">
        <v>307</v>
      </c>
      <c r="O61" s="223" t="b">
        <v>0</v>
      </c>
      <c r="P61" s="224">
        <f t="shared" ref="P61:P62" si="5">COUNTIF(B61:O61,True)/COUNTA(B61:O61)%/50</f>
        <v>0</v>
      </c>
      <c r="Q61" s="225" t="s">
        <v>308</v>
      </c>
    </row>
    <row r="62">
      <c r="A62" s="49"/>
      <c r="B62" s="220" t="s">
        <v>309</v>
      </c>
      <c r="C62" s="221" t="b">
        <v>0</v>
      </c>
      <c r="D62" s="220" t="s">
        <v>309</v>
      </c>
      <c r="E62" s="221" t="b">
        <v>0</v>
      </c>
      <c r="F62" s="220" t="s">
        <v>309</v>
      </c>
      <c r="G62" s="223" t="b">
        <v>0</v>
      </c>
      <c r="H62" s="220" t="s">
        <v>309</v>
      </c>
      <c r="I62" s="223" t="b">
        <v>0</v>
      </c>
      <c r="J62" s="220" t="s">
        <v>309</v>
      </c>
      <c r="K62" s="223" t="b">
        <v>0</v>
      </c>
      <c r="L62" s="220" t="s">
        <v>309</v>
      </c>
      <c r="M62" s="223" t="b">
        <v>0</v>
      </c>
      <c r="N62" s="220" t="s">
        <v>309</v>
      </c>
      <c r="O62" s="223" t="b">
        <v>0</v>
      </c>
      <c r="P62" s="224">
        <f t="shared" si="5"/>
        <v>0</v>
      </c>
      <c r="Q62" s="3"/>
    </row>
    <row r="63">
      <c r="A63" s="49"/>
      <c r="B63" s="226" t="s">
        <v>310</v>
      </c>
      <c r="C63" s="227"/>
      <c r="D63" s="226" t="s">
        <v>310</v>
      </c>
      <c r="E63" s="227"/>
      <c r="F63" s="226" t="s">
        <v>310</v>
      </c>
      <c r="G63" s="227"/>
      <c r="H63" s="226" t="s">
        <v>310</v>
      </c>
      <c r="I63" s="227"/>
      <c r="J63" s="226" t="s">
        <v>310</v>
      </c>
      <c r="K63" s="227"/>
      <c r="L63" s="226" t="s">
        <v>310</v>
      </c>
      <c r="M63" s="227"/>
      <c r="N63" s="226" t="s">
        <v>310</v>
      </c>
      <c r="O63" s="227"/>
      <c r="P63" s="228">
        <f>COUNTIF(B63:O63,"Yes")</f>
        <v>0</v>
      </c>
      <c r="Q63" s="229" t="s">
        <v>311</v>
      </c>
    </row>
    <row r="64">
      <c r="A64" s="3"/>
      <c r="B64" s="230" t="s">
        <v>312</v>
      </c>
      <c r="C64" s="231"/>
      <c r="D64" s="230" t="s">
        <v>312</v>
      </c>
      <c r="E64" s="231"/>
      <c r="F64" s="230" t="s">
        <v>312</v>
      </c>
      <c r="G64" s="231"/>
      <c r="H64" s="230" t="s">
        <v>312</v>
      </c>
      <c r="I64" s="231"/>
      <c r="J64" s="230" t="s">
        <v>312</v>
      </c>
      <c r="K64" s="231"/>
      <c r="L64" s="230" t="s">
        <v>312</v>
      </c>
      <c r="M64" s="231"/>
      <c r="N64" s="230" t="s">
        <v>312</v>
      </c>
      <c r="O64" s="231"/>
      <c r="P64" s="232">
        <f>SUM(C64,E64,G64,I64,K64,M64,O64)/7</f>
        <v>0</v>
      </c>
      <c r="Q64" s="230" t="s">
        <v>313</v>
      </c>
    </row>
  </sheetData>
  <mergeCells count="168">
    <mergeCell ref="B18:C18"/>
    <mergeCell ref="B23:C23"/>
    <mergeCell ref="A23:A28"/>
    <mergeCell ref="B24:C24"/>
    <mergeCell ref="A30:A34"/>
    <mergeCell ref="B30:C30"/>
    <mergeCell ref="A35:A40"/>
    <mergeCell ref="B35:C35"/>
    <mergeCell ref="D35:E35"/>
    <mergeCell ref="A54:A58"/>
    <mergeCell ref="A59:A64"/>
    <mergeCell ref="B59:C59"/>
    <mergeCell ref="D59:E59"/>
    <mergeCell ref="B60:C60"/>
    <mergeCell ref="D60:E60"/>
    <mergeCell ref="A47:A52"/>
    <mergeCell ref="B47:C47"/>
    <mergeCell ref="D47:E47"/>
    <mergeCell ref="B48:C48"/>
    <mergeCell ref="D48:E48"/>
    <mergeCell ref="B54:C54"/>
    <mergeCell ref="D54:E54"/>
    <mergeCell ref="L59:M59"/>
    <mergeCell ref="N59:O59"/>
    <mergeCell ref="Q61:Q62"/>
    <mergeCell ref="F59:G59"/>
    <mergeCell ref="F60:G60"/>
    <mergeCell ref="H60:I60"/>
    <mergeCell ref="J60:K60"/>
    <mergeCell ref="L60:M60"/>
    <mergeCell ref="N60:O60"/>
    <mergeCell ref="P60:Q60"/>
    <mergeCell ref="J54:K54"/>
    <mergeCell ref="L54:M54"/>
    <mergeCell ref="P54:P58"/>
    <mergeCell ref="Q54:Q58"/>
    <mergeCell ref="H59:I59"/>
    <mergeCell ref="J59:K59"/>
    <mergeCell ref="P59:Q59"/>
    <mergeCell ref="N18:O18"/>
    <mergeCell ref="P18:P22"/>
    <mergeCell ref="Q18:Q22"/>
    <mergeCell ref="H23:I23"/>
    <mergeCell ref="J23:K23"/>
    <mergeCell ref="N23:O23"/>
    <mergeCell ref="P23:Q23"/>
    <mergeCell ref="A18:A22"/>
    <mergeCell ref="D18:E18"/>
    <mergeCell ref="F18:G18"/>
    <mergeCell ref="H18:I18"/>
    <mergeCell ref="J18:K18"/>
    <mergeCell ref="L18:M18"/>
    <mergeCell ref="L23:M23"/>
    <mergeCell ref="D23:E23"/>
    <mergeCell ref="F23:G23"/>
    <mergeCell ref="D24:E24"/>
    <mergeCell ref="F24:G24"/>
    <mergeCell ref="H24:I24"/>
    <mergeCell ref="J24:K24"/>
    <mergeCell ref="L24:M24"/>
    <mergeCell ref="N30:O30"/>
    <mergeCell ref="A41:Q41"/>
    <mergeCell ref="N24:O24"/>
    <mergeCell ref="P24:Q24"/>
    <mergeCell ref="Q25:Q26"/>
    <mergeCell ref="A29:Q29"/>
    <mergeCell ref="D30:E30"/>
    <mergeCell ref="F30:G30"/>
    <mergeCell ref="H30:I30"/>
    <mergeCell ref="H48:I48"/>
    <mergeCell ref="J48:K48"/>
    <mergeCell ref="P48:Q48"/>
    <mergeCell ref="Q49:Q50"/>
    <mergeCell ref="A53:Q53"/>
    <mergeCell ref="F54:G54"/>
    <mergeCell ref="H54:I54"/>
    <mergeCell ref="N54:O54"/>
    <mergeCell ref="F4:G4"/>
    <mergeCell ref="H4:I4"/>
    <mergeCell ref="D5:E5"/>
    <mergeCell ref="F5:G5"/>
    <mergeCell ref="D6:E6"/>
    <mergeCell ref="F6:G6"/>
    <mergeCell ref="D11:E11"/>
    <mergeCell ref="F11:G11"/>
    <mergeCell ref="H11:I11"/>
    <mergeCell ref="N12:O12"/>
    <mergeCell ref="P12:Q12"/>
    <mergeCell ref="J11:K11"/>
    <mergeCell ref="L11:M11"/>
    <mergeCell ref="N11:O11"/>
    <mergeCell ref="P11:Q11"/>
    <mergeCell ref="D12:E12"/>
    <mergeCell ref="F12:G12"/>
    <mergeCell ref="H12:I12"/>
    <mergeCell ref="D2:E3"/>
    <mergeCell ref="B4:C4"/>
    <mergeCell ref="D4:E4"/>
    <mergeCell ref="J4:K4"/>
    <mergeCell ref="L4:M4"/>
    <mergeCell ref="N4:O4"/>
    <mergeCell ref="P4:P5"/>
    <mergeCell ref="N5:O5"/>
    <mergeCell ref="N6:O6"/>
    <mergeCell ref="P6:P10"/>
    <mergeCell ref="Q6:Q10"/>
    <mergeCell ref="Q13:Q14"/>
    <mergeCell ref="H5:I5"/>
    <mergeCell ref="J5:K5"/>
    <mergeCell ref="H6:I6"/>
    <mergeCell ref="J6:K6"/>
    <mergeCell ref="L6:M6"/>
    <mergeCell ref="B1:G1"/>
    <mergeCell ref="H1:I3"/>
    <mergeCell ref="J1:O3"/>
    <mergeCell ref="P1:Q3"/>
    <mergeCell ref="F2:G2"/>
    <mergeCell ref="F3:G3"/>
    <mergeCell ref="Q4:Q5"/>
    <mergeCell ref="L5:M5"/>
    <mergeCell ref="J12:K12"/>
    <mergeCell ref="L12:M12"/>
    <mergeCell ref="A17:Q17"/>
    <mergeCell ref="A1:A5"/>
    <mergeCell ref="B5:C5"/>
    <mergeCell ref="A6:A10"/>
    <mergeCell ref="B6:C6"/>
    <mergeCell ref="A11:A16"/>
    <mergeCell ref="B11:C11"/>
    <mergeCell ref="B12:C12"/>
    <mergeCell ref="L35:M35"/>
    <mergeCell ref="N35:O35"/>
    <mergeCell ref="J30:K30"/>
    <mergeCell ref="L30:M30"/>
    <mergeCell ref="P30:P34"/>
    <mergeCell ref="Q30:Q34"/>
    <mergeCell ref="F35:G35"/>
    <mergeCell ref="H35:I35"/>
    <mergeCell ref="J35:K35"/>
    <mergeCell ref="P35:Q35"/>
    <mergeCell ref="P36:Q36"/>
    <mergeCell ref="Q37:Q38"/>
    <mergeCell ref="B36:C36"/>
    <mergeCell ref="D36:E36"/>
    <mergeCell ref="F36:G36"/>
    <mergeCell ref="H36:I36"/>
    <mergeCell ref="J36:K36"/>
    <mergeCell ref="L36:M36"/>
    <mergeCell ref="N36:O36"/>
    <mergeCell ref="N42:O42"/>
    <mergeCell ref="P42:P46"/>
    <mergeCell ref="Q42:Q46"/>
    <mergeCell ref="A42:A46"/>
    <mergeCell ref="B42:C42"/>
    <mergeCell ref="D42:E42"/>
    <mergeCell ref="F42:G42"/>
    <mergeCell ref="H42:I42"/>
    <mergeCell ref="J42:K42"/>
    <mergeCell ref="L42:M42"/>
    <mergeCell ref="L48:M48"/>
    <mergeCell ref="N48:O48"/>
    <mergeCell ref="F47:G47"/>
    <mergeCell ref="H47:I47"/>
    <mergeCell ref="J47:K47"/>
    <mergeCell ref="L47:M47"/>
    <mergeCell ref="N47:O47"/>
    <mergeCell ref="P47:Q47"/>
    <mergeCell ref="F48:G48"/>
  </mergeCells>
  <dataValidations>
    <dataValidation type="list" allowBlank="1" showErrorMessage="1" sqref="A11 A23 A35 A47 A59">
      <formula1>"Don't Push/ Strict Paces,Focus on Recovery Don't Push,Focus HEAVILY on Rolling/ Stretching/ Recovery,Fuel Every Quality Session/ TRACK and see what works/ doesn't,Prep/Fuel Like Race Week,If you feel good; close last 10-20% of hard/ long workouts faster,S"&amp;"tay on Top of the Little Things / Be Ready to Push,Focus More on Strength,Last EASY (50%) Strength: Sat or Sun,Schedule Race Prep Call,Communicate Daily w/ Coach"</formula1>
    </dataValidation>
    <dataValidation type="list" allowBlank="1" showErrorMessage="1" sqref="C16 E16 G16 I16 K16 M16 O16 C28 E28 G28 I28 K28 M28 O28 C40 E40 G40 I40 K40 M40 O40 C52 E52 G52 I52 K52 M52 O52 C64 E64 G64 I64 K64 M64 O64">
      <formula1>"1,2,3,4,5,6,7,8,9,10"</formula1>
    </dataValidation>
    <dataValidation type="list" allowBlank="1" showErrorMessage="1" sqref="A6 A18 A30 A42 A54">
      <formula1>"REST WEEK,BUILD WEEK,PUSH WEEK,PEAK WEEK,RACE WEEK,INJURED,ILLNESS,RETURN WEEK,CROSS TRAINING,TRAVEL/ LIMITED WEEK"</formula1>
    </dataValidation>
    <dataValidation type="list" allowBlank="1" showErrorMessage="1" sqref="C15 E15 G15 I15 K15 M15 O15 C27 E27 G27 I27 K27 M27 O27 C39 E39 G39 I39 K39 M39 O39 C51 E51 G51 I51 K51 M51 O51 C63 E63 G63 I63 K63 M63 O63">
      <formula1>"Yes,No"</formula1>
    </dataValidation>
  </dataValidations>
  <hyperlinks>
    <hyperlink r:id="rId1" ref="D2"/>
    <hyperlink r:id="rId2" ref="F2"/>
    <hyperlink r:id="rId3" ref="F3"/>
  </hyperlinks>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19.13"/>
    <col customWidth="1" min="4" max="4" width="18.88"/>
    <col customWidth="1" min="5" max="5" width="13.0"/>
    <col customWidth="1" min="6" max="6" width="19.88"/>
    <col customWidth="1" min="8" max="8" width="18.63"/>
    <col customWidth="1" min="10" max="10" width="18.88"/>
    <col customWidth="1" min="12" max="12" width="19.25"/>
    <col customWidth="1" min="14" max="14" width="18.38"/>
    <col customWidth="1" min="17" max="17" width="14.63"/>
  </cols>
  <sheetData>
    <row r="1">
      <c r="A1" s="238" t="str">
        <f>July!A1</f>
        <v>STRAVA</v>
      </c>
      <c r="B1" s="243" t="s">
        <v>381</v>
      </c>
      <c r="C1" s="23"/>
      <c r="D1" s="23"/>
      <c r="E1" s="23"/>
      <c r="F1" s="23"/>
      <c r="G1" s="23"/>
      <c r="H1" s="191" t="s">
        <v>272</v>
      </c>
      <c r="I1" s="48"/>
      <c r="J1" s="192"/>
      <c r="K1" s="48"/>
      <c r="L1" s="48"/>
      <c r="M1" s="48"/>
      <c r="N1" s="48"/>
      <c r="O1" s="48"/>
      <c r="P1" s="193"/>
      <c r="Q1" s="42"/>
    </row>
    <row r="2">
      <c r="A2" s="49"/>
      <c r="B2" s="194" t="s">
        <v>274</v>
      </c>
      <c r="C2" s="237" t="str">
        <f>July!C2</f>
        <v>1.5 mile</v>
      </c>
      <c r="D2" s="196" t="s">
        <v>276</v>
      </c>
      <c r="E2" s="48"/>
      <c r="F2" s="197" t="s">
        <v>277</v>
      </c>
      <c r="G2" s="24"/>
      <c r="H2" s="50"/>
      <c r="P2" s="50"/>
      <c r="Q2" s="51"/>
    </row>
    <row r="3">
      <c r="A3" s="49"/>
      <c r="B3" s="198" t="s">
        <v>278</v>
      </c>
      <c r="C3" s="237" t="str">
        <f>July!C3</f>
        <v>1.5 mile</v>
      </c>
      <c r="D3" s="50"/>
      <c r="F3" s="199" t="s">
        <v>279</v>
      </c>
      <c r="G3" s="24"/>
      <c r="H3" s="50"/>
      <c r="P3" s="53"/>
      <c r="Q3" s="54"/>
    </row>
    <row r="4">
      <c r="A4" s="49"/>
      <c r="B4" s="200" t="s">
        <v>280</v>
      </c>
      <c r="C4" s="24"/>
      <c r="D4" s="201" t="s">
        <v>281</v>
      </c>
      <c r="E4" s="24"/>
      <c r="F4" s="201" t="s">
        <v>282</v>
      </c>
      <c r="G4" s="24"/>
      <c r="H4" s="201" t="s">
        <v>283</v>
      </c>
      <c r="I4" s="24"/>
      <c r="J4" s="201" t="s">
        <v>284</v>
      </c>
      <c r="K4" s="24"/>
      <c r="L4" s="201" t="s">
        <v>285</v>
      </c>
      <c r="M4" s="24"/>
      <c r="N4" s="201" t="s">
        <v>286</v>
      </c>
      <c r="O4" s="24"/>
      <c r="P4" s="202" t="s">
        <v>287</v>
      </c>
      <c r="Q4" s="202" t="s">
        <v>288</v>
      </c>
    </row>
    <row r="5">
      <c r="A5" s="3"/>
      <c r="B5" s="203" t="str">
        <f>July!B5</f>
        <v>EASY RUN</v>
      </c>
      <c r="C5" s="24"/>
      <c r="D5" s="203" t="str">
        <f>July!D5</f>
        <v>HARD WORKOUT
&amp; STRENGTH</v>
      </c>
      <c r="E5" s="24"/>
      <c r="F5" s="203" t="str">
        <f>July!F5</f>
        <v>EASY RUN</v>
      </c>
      <c r="G5" s="24"/>
      <c r="H5" s="203" t="str">
        <f>July!H5</f>
        <v>HARD WORKOUT
&amp; STRENGTH</v>
      </c>
      <c r="I5" s="24"/>
      <c r="J5" s="203" t="str">
        <f>July!J5</f>
        <v>REST</v>
      </c>
      <c r="K5" s="24"/>
      <c r="L5" s="203" t="str">
        <f>July!L5</f>
        <v>LONG RUN</v>
      </c>
      <c r="M5" s="24"/>
      <c r="N5" s="239" t="str">
        <f>July!N5</f>
        <v>REST OR EASY RUN</v>
      </c>
      <c r="O5" s="24"/>
      <c r="P5" s="54"/>
      <c r="Q5" s="54"/>
    </row>
    <row r="6">
      <c r="A6" s="204"/>
      <c r="B6" s="240">
        <v>46237.0</v>
      </c>
      <c r="C6" s="24"/>
      <c r="D6" s="240">
        <v>46238.0</v>
      </c>
      <c r="E6" s="24"/>
      <c r="F6" s="240">
        <v>46239.0</v>
      </c>
      <c r="G6" s="24"/>
      <c r="H6" s="240">
        <v>46240.0</v>
      </c>
      <c r="I6" s="24"/>
      <c r="J6" s="240">
        <v>46241.0</v>
      </c>
      <c r="K6" s="24"/>
      <c r="L6" s="240">
        <v>46242.0</v>
      </c>
      <c r="M6" s="24"/>
      <c r="N6" s="240">
        <v>46243.0</v>
      </c>
      <c r="O6" s="24"/>
      <c r="P6" s="206">
        <f>SUM(B7,D7,F7,H7,J7,L7,N7)</f>
        <v>0</v>
      </c>
      <c r="Q6" s="207"/>
    </row>
    <row r="7">
      <c r="A7" s="49"/>
      <c r="B7" s="210"/>
      <c r="C7" s="209" t="s">
        <v>295</v>
      </c>
      <c r="D7" s="210"/>
      <c r="E7" s="209" t="s">
        <v>295</v>
      </c>
      <c r="F7" s="210"/>
      <c r="G7" s="209" t="s">
        <v>295</v>
      </c>
      <c r="H7" s="210"/>
      <c r="I7" s="209" t="s">
        <v>295</v>
      </c>
      <c r="J7" s="210"/>
      <c r="K7" s="209" t="s">
        <v>295</v>
      </c>
      <c r="L7" s="210"/>
      <c r="M7" s="209" t="s">
        <v>295</v>
      </c>
      <c r="N7" s="210"/>
      <c r="O7" s="209" t="s">
        <v>295</v>
      </c>
      <c r="P7" s="49"/>
      <c r="Q7" s="49"/>
    </row>
    <row r="8">
      <c r="A8" s="49"/>
      <c r="B8" s="213"/>
      <c r="C8" s="212"/>
      <c r="D8" s="213"/>
      <c r="E8" s="212"/>
      <c r="F8" s="213"/>
      <c r="G8" s="212"/>
      <c r="H8" s="213"/>
      <c r="I8" s="212"/>
      <c r="J8" s="213"/>
      <c r="K8" s="212"/>
      <c r="L8" s="213"/>
      <c r="M8" s="212"/>
      <c r="N8" s="213"/>
      <c r="O8" s="212"/>
      <c r="P8" s="49"/>
      <c r="Q8" s="49"/>
    </row>
    <row r="9">
      <c r="A9" s="49"/>
      <c r="B9" s="209" t="s">
        <v>302</v>
      </c>
      <c r="C9" s="209" t="s">
        <v>303</v>
      </c>
      <c r="D9" s="209" t="s">
        <v>302</v>
      </c>
      <c r="E9" s="209" t="s">
        <v>303</v>
      </c>
      <c r="F9" s="209" t="s">
        <v>302</v>
      </c>
      <c r="G9" s="209" t="s">
        <v>303</v>
      </c>
      <c r="H9" s="209" t="s">
        <v>302</v>
      </c>
      <c r="I9" s="209" t="s">
        <v>303</v>
      </c>
      <c r="J9" s="209" t="s">
        <v>302</v>
      </c>
      <c r="K9" s="209" t="s">
        <v>303</v>
      </c>
      <c r="L9" s="209" t="s">
        <v>302</v>
      </c>
      <c r="M9" s="209" t="s">
        <v>303</v>
      </c>
      <c r="N9" s="209" t="s">
        <v>302</v>
      </c>
      <c r="O9" s="209" t="s">
        <v>303</v>
      </c>
      <c r="P9" s="49"/>
      <c r="Q9" s="49"/>
    </row>
    <row r="10">
      <c r="A10" s="49"/>
      <c r="B10" s="214"/>
      <c r="C10" s="214"/>
      <c r="D10" s="214"/>
      <c r="E10" s="214"/>
      <c r="F10" s="214"/>
      <c r="G10" s="214"/>
      <c r="H10" s="214"/>
      <c r="I10" s="214"/>
      <c r="J10" s="214"/>
      <c r="K10" s="214"/>
      <c r="L10" s="214"/>
      <c r="M10" s="215"/>
      <c r="N10" s="214"/>
      <c r="O10" s="214"/>
      <c r="P10" s="3"/>
      <c r="Q10" s="3"/>
    </row>
    <row r="11">
      <c r="A11" s="216"/>
      <c r="B11" s="217" t="s">
        <v>305</v>
      </c>
      <c r="C11" s="24"/>
      <c r="D11" s="217" t="s">
        <v>305</v>
      </c>
      <c r="E11" s="24"/>
      <c r="F11" s="217" t="s">
        <v>305</v>
      </c>
      <c r="G11" s="24"/>
      <c r="H11" s="217" t="s">
        <v>305</v>
      </c>
      <c r="I11" s="24"/>
      <c r="J11" s="217" t="s">
        <v>305</v>
      </c>
      <c r="K11" s="24"/>
      <c r="L11" s="217" t="s">
        <v>305</v>
      </c>
      <c r="M11" s="24"/>
      <c r="N11" s="217" t="s">
        <v>305</v>
      </c>
      <c r="O11" s="24"/>
      <c r="P11" s="218" t="s">
        <v>306</v>
      </c>
      <c r="Q11" s="24"/>
    </row>
    <row r="12">
      <c r="A12" s="49"/>
      <c r="B12" s="219"/>
      <c r="C12" s="24"/>
      <c r="D12" s="219"/>
      <c r="E12" s="24"/>
      <c r="F12" s="219"/>
      <c r="G12" s="24"/>
      <c r="H12" s="219"/>
      <c r="I12" s="24"/>
      <c r="J12" s="219"/>
      <c r="K12" s="24"/>
      <c r="L12" s="219"/>
      <c r="M12" s="24"/>
      <c r="N12" s="219"/>
      <c r="O12" s="24"/>
      <c r="P12" s="219"/>
      <c r="Q12" s="24"/>
    </row>
    <row r="13">
      <c r="A13" s="49"/>
      <c r="B13" s="220" t="s">
        <v>307</v>
      </c>
      <c r="C13" s="221" t="b">
        <v>0</v>
      </c>
      <c r="D13" s="220" t="s">
        <v>307</v>
      </c>
      <c r="E13" s="223" t="b">
        <v>0</v>
      </c>
      <c r="F13" s="220" t="s">
        <v>307</v>
      </c>
      <c r="G13" s="223" t="b">
        <v>0</v>
      </c>
      <c r="H13" s="220" t="s">
        <v>307</v>
      </c>
      <c r="I13" s="223" t="b">
        <v>0</v>
      </c>
      <c r="J13" s="220" t="s">
        <v>307</v>
      </c>
      <c r="K13" s="223" t="b">
        <v>0</v>
      </c>
      <c r="L13" s="220" t="s">
        <v>307</v>
      </c>
      <c r="M13" s="223" t="b">
        <v>0</v>
      </c>
      <c r="N13" s="220" t="s">
        <v>307</v>
      </c>
      <c r="O13" s="223" t="b">
        <v>0</v>
      </c>
      <c r="P13" s="224">
        <f t="shared" ref="P13:P14" si="1">COUNTIF(B13:O13,True)/COUNTA(B13:O13)%/50</f>
        <v>0</v>
      </c>
      <c r="Q13" s="225" t="s">
        <v>308</v>
      </c>
    </row>
    <row r="14">
      <c r="A14" s="49"/>
      <c r="B14" s="220" t="s">
        <v>309</v>
      </c>
      <c r="C14" s="221" t="b">
        <v>0</v>
      </c>
      <c r="D14" s="220" t="s">
        <v>309</v>
      </c>
      <c r="E14" s="221" t="b">
        <v>0</v>
      </c>
      <c r="F14" s="220" t="s">
        <v>309</v>
      </c>
      <c r="G14" s="223" t="b">
        <v>0</v>
      </c>
      <c r="H14" s="220" t="s">
        <v>309</v>
      </c>
      <c r="I14" s="223" t="b">
        <v>0</v>
      </c>
      <c r="J14" s="220" t="s">
        <v>309</v>
      </c>
      <c r="K14" s="223" t="b">
        <v>0</v>
      </c>
      <c r="L14" s="220" t="s">
        <v>309</v>
      </c>
      <c r="M14" s="223" t="b">
        <v>0</v>
      </c>
      <c r="N14" s="220" t="s">
        <v>309</v>
      </c>
      <c r="O14" s="223" t="b">
        <v>0</v>
      </c>
      <c r="P14" s="224">
        <f t="shared" si="1"/>
        <v>0</v>
      </c>
      <c r="Q14" s="3"/>
    </row>
    <row r="15">
      <c r="A15" s="49"/>
      <c r="B15" s="226" t="s">
        <v>310</v>
      </c>
      <c r="C15" s="227"/>
      <c r="D15" s="226" t="s">
        <v>310</v>
      </c>
      <c r="E15" s="227"/>
      <c r="F15" s="226" t="s">
        <v>310</v>
      </c>
      <c r="G15" s="227"/>
      <c r="H15" s="226" t="s">
        <v>310</v>
      </c>
      <c r="I15" s="227"/>
      <c r="J15" s="226" t="s">
        <v>310</v>
      </c>
      <c r="K15" s="227"/>
      <c r="L15" s="226" t="s">
        <v>310</v>
      </c>
      <c r="M15" s="227"/>
      <c r="N15" s="226" t="s">
        <v>310</v>
      </c>
      <c r="O15" s="227"/>
      <c r="P15" s="228">
        <f>COUNTIF(B15:O15,"Yes")</f>
        <v>0</v>
      </c>
      <c r="Q15" s="229" t="s">
        <v>311</v>
      </c>
    </row>
    <row r="16">
      <c r="A16" s="3"/>
      <c r="B16" s="230" t="s">
        <v>312</v>
      </c>
      <c r="C16" s="231"/>
      <c r="D16" s="230" t="s">
        <v>312</v>
      </c>
      <c r="E16" s="231"/>
      <c r="F16" s="230" t="s">
        <v>312</v>
      </c>
      <c r="G16" s="231"/>
      <c r="H16" s="230" t="s">
        <v>312</v>
      </c>
      <c r="I16" s="231"/>
      <c r="J16" s="230" t="s">
        <v>312</v>
      </c>
      <c r="K16" s="231"/>
      <c r="L16" s="230" t="s">
        <v>312</v>
      </c>
      <c r="M16" s="231"/>
      <c r="N16" s="230" t="s">
        <v>312</v>
      </c>
      <c r="O16" s="231"/>
      <c r="P16" s="232">
        <f>SUM(C16,E16,G16,I16,K16,M16,O16)/7</f>
        <v>0</v>
      </c>
      <c r="Q16" s="230" t="s">
        <v>313</v>
      </c>
    </row>
    <row r="17" ht="10.5" customHeight="1">
      <c r="A17" s="233"/>
      <c r="B17" s="55"/>
      <c r="C17" s="55"/>
      <c r="D17" s="55"/>
      <c r="E17" s="55"/>
      <c r="F17" s="55"/>
      <c r="G17" s="55"/>
      <c r="H17" s="55"/>
      <c r="I17" s="55"/>
      <c r="J17" s="55"/>
      <c r="K17" s="55"/>
      <c r="L17" s="55"/>
      <c r="M17" s="55"/>
      <c r="N17" s="55"/>
      <c r="O17" s="55"/>
      <c r="P17" s="55"/>
      <c r="Q17" s="54"/>
    </row>
    <row r="18">
      <c r="A18" s="204"/>
      <c r="B18" s="240">
        <v>46244.0</v>
      </c>
      <c r="C18" s="24"/>
      <c r="D18" s="240">
        <v>46245.0</v>
      </c>
      <c r="E18" s="24"/>
      <c r="F18" s="240">
        <v>46246.0</v>
      </c>
      <c r="G18" s="24"/>
      <c r="H18" s="240">
        <v>46247.0</v>
      </c>
      <c r="I18" s="24"/>
      <c r="J18" s="240">
        <v>46248.0</v>
      </c>
      <c r="K18" s="24"/>
      <c r="L18" s="240">
        <v>46249.0</v>
      </c>
      <c r="M18" s="24"/>
      <c r="N18" s="240">
        <v>46250.0</v>
      </c>
      <c r="O18" s="24"/>
      <c r="P18" s="206">
        <f>SUM(B19,D19,F19,H19,J19,L19,N19)</f>
        <v>0</v>
      </c>
      <c r="Q18" s="207"/>
    </row>
    <row r="19">
      <c r="A19" s="49"/>
      <c r="B19" s="210"/>
      <c r="C19" s="209" t="s">
        <v>295</v>
      </c>
      <c r="D19" s="210"/>
      <c r="E19" s="209" t="s">
        <v>295</v>
      </c>
      <c r="F19" s="210"/>
      <c r="G19" s="209" t="s">
        <v>295</v>
      </c>
      <c r="H19" s="210"/>
      <c r="I19" s="209" t="s">
        <v>295</v>
      </c>
      <c r="J19" s="210"/>
      <c r="K19" s="209" t="s">
        <v>295</v>
      </c>
      <c r="L19" s="210"/>
      <c r="M19" s="209" t="s">
        <v>295</v>
      </c>
      <c r="N19" s="210"/>
      <c r="O19" s="209" t="s">
        <v>295</v>
      </c>
      <c r="P19" s="49"/>
      <c r="Q19" s="49"/>
    </row>
    <row r="20">
      <c r="A20" s="49"/>
      <c r="B20" s="213"/>
      <c r="C20" s="212"/>
      <c r="D20" s="213"/>
      <c r="E20" s="212"/>
      <c r="F20" s="213"/>
      <c r="G20" s="212"/>
      <c r="H20" s="213"/>
      <c r="I20" s="212"/>
      <c r="J20" s="213"/>
      <c r="K20" s="212"/>
      <c r="L20" s="213"/>
      <c r="M20" s="212"/>
      <c r="N20" s="213"/>
      <c r="O20" s="212"/>
      <c r="P20" s="49"/>
      <c r="Q20" s="49"/>
    </row>
    <row r="21">
      <c r="A21" s="49"/>
      <c r="B21" s="209" t="s">
        <v>302</v>
      </c>
      <c r="C21" s="209" t="s">
        <v>303</v>
      </c>
      <c r="D21" s="209" t="s">
        <v>302</v>
      </c>
      <c r="E21" s="209" t="s">
        <v>303</v>
      </c>
      <c r="F21" s="209" t="s">
        <v>302</v>
      </c>
      <c r="G21" s="209" t="s">
        <v>303</v>
      </c>
      <c r="H21" s="209" t="s">
        <v>302</v>
      </c>
      <c r="I21" s="209" t="s">
        <v>303</v>
      </c>
      <c r="J21" s="209" t="s">
        <v>302</v>
      </c>
      <c r="K21" s="209" t="s">
        <v>303</v>
      </c>
      <c r="L21" s="209" t="s">
        <v>302</v>
      </c>
      <c r="M21" s="209" t="s">
        <v>303</v>
      </c>
      <c r="N21" s="209" t="s">
        <v>302</v>
      </c>
      <c r="O21" s="209" t="s">
        <v>303</v>
      </c>
      <c r="P21" s="49"/>
      <c r="Q21" s="49"/>
    </row>
    <row r="22">
      <c r="A22" s="49"/>
      <c r="B22" s="214"/>
      <c r="C22" s="214"/>
      <c r="D22" s="214"/>
      <c r="E22" s="214"/>
      <c r="F22" s="214"/>
      <c r="G22" s="214"/>
      <c r="H22" s="214"/>
      <c r="I22" s="214"/>
      <c r="J22" s="214"/>
      <c r="K22" s="214"/>
      <c r="L22" s="214"/>
      <c r="M22" s="215"/>
      <c r="N22" s="214"/>
      <c r="O22" s="214"/>
      <c r="P22" s="3"/>
      <c r="Q22" s="3"/>
    </row>
    <row r="23">
      <c r="A23" s="216"/>
      <c r="B23" s="217" t="s">
        <v>305</v>
      </c>
      <c r="C23" s="24"/>
      <c r="D23" s="217" t="s">
        <v>305</v>
      </c>
      <c r="E23" s="24"/>
      <c r="F23" s="217" t="s">
        <v>305</v>
      </c>
      <c r="G23" s="24"/>
      <c r="H23" s="217" t="s">
        <v>305</v>
      </c>
      <c r="I23" s="24"/>
      <c r="J23" s="217" t="s">
        <v>305</v>
      </c>
      <c r="K23" s="24"/>
      <c r="L23" s="217" t="s">
        <v>305</v>
      </c>
      <c r="M23" s="24"/>
      <c r="N23" s="217" t="s">
        <v>305</v>
      </c>
      <c r="O23" s="24"/>
      <c r="P23" s="218" t="s">
        <v>306</v>
      </c>
      <c r="Q23" s="24"/>
    </row>
    <row r="24">
      <c r="A24" s="49"/>
      <c r="B24" s="219"/>
      <c r="C24" s="24"/>
      <c r="D24" s="219"/>
      <c r="E24" s="24"/>
      <c r="F24" s="219"/>
      <c r="G24" s="24"/>
      <c r="H24" s="219"/>
      <c r="I24" s="24"/>
      <c r="J24" s="219"/>
      <c r="K24" s="24"/>
      <c r="L24" s="219"/>
      <c r="M24" s="24"/>
      <c r="N24" s="219"/>
      <c r="O24" s="24"/>
      <c r="P24" s="219"/>
      <c r="Q24" s="24"/>
    </row>
    <row r="25">
      <c r="A25" s="49"/>
      <c r="B25" s="220" t="s">
        <v>307</v>
      </c>
      <c r="C25" s="221" t="b">
        <v>0</v>
      </c>
      <c r="D25" s="220" t="s">
        <v>307</v>
      </c>
      <c r="E25" s="223" t="b">
        <v>0</v>
      </c>
      <c r="F25" s="220" t="s">
        <v>307</v>
      </c>
      <c r="G25" s="223" t="b">
        <v>0</v>
      </c>
      <c r="H25" s="220" t="s">
        <v>307</v>
      </c>
      <c r="I25" s="223" t="b">
        <v>0</v>
      </c>
      <c r="J25" s="220" t="s">
        <v>307</v>
      </c>
      <c r="K25" s="223" t="b">
        <v>0</v>
      </c>
      <c r="L25" s="220" t="s">
        <v>307</v>
      </c>
      <c r="M25" s="223" t="b">
        <v>0</v>
      </c>
      <c r="N25" s="220" t="s">
        <v>307</v>
      </c>
      <c r="O25" s="223" t="b">
        <v>0</v>
      </c>
      <c r="P25" s="224">
        <f t="shared" ref="P25:P26" si="2">COUNTIF(B25:O25,True)/COUNTA(B25:O25)%/50</f>
        <v>0</v>
      </c>
      <c r="Q25" s="225" t="s">
        <v>308</v>
      </c>
    </row>
    <row r="26">
      <c r="A26" s="49"/>
      <c r="B26" s="220" t="s">
        <v>309</v>
      </c>
      <c r="C26" s="221" t="b">
        <v>0</v>
      </c>
      <c r="D26" s="220" t="s">
        <v>309</v>
      </c>
      <c r="E26" s="221" t="b">
        <v>0</v>
      </c>
      <c r="F26" s="220" t="s">
        <v>309</v>
      </c>
      <c r="G26" s="223" t="b">
        <v>0</v>
      </c>
      <c r="H26" s="220" t="s">
        <v>309</v>
      </c>
      <c r="I26" s="223" t="b">
        <v>0</v>
      </c>
      <c r="J26" s="220" t="s">
        <v>309</v>
      </c>
      <c r="K26" s="223" t="b">
        <v>0</v>
      </c>
      <c r="L26" s="220" t="s">
        <v>309</v>
      </c>
      <c r="M26" s="223" t="b">
        <v>0</v>
      </c>
      <c r="N26" s="220" t="s">
        <v>309</v>
      </c>
      <c r="O26" s="223" t="b">
        <v>0</v>
      </c>
      <c r="P26" s="224">
        <f t="shared" si="2"/>
        <v>0</v>
      </c>
      <c r="Q26" s="3"/>
    </row>
    <row r="27">
      <c r="A27" s="49"/>
      <c r="B27" s="226" t="s">
        <v>310</v>
      </c>
      <c r="C27" s="227"/>
      <c r="D27" s="226" t="s">
        <v>310</v>
      </c>
      <c r="E27" s="227"/>
      <c r="F27" s="226" t="s">
        <v>310</v>
      </c>
      <c r="G27" s="227"/>
      <c r="H27" s="226" t="s">
        <v>310</v>
      </c>
      <c r="I27" s="227"/>
      <c r="J27" s="226" t="s">
        <v>310</v>
      </c>
      <c r="K27" s="227"/>
      <c r="L27" s="226" t="s">
        <v>310</v>
      </c>
      <c r="M27" s="227"/>
      <c r="N27" s="226" t="s">
        <v>310</v>
      </c>
      <c r="O27" s="227"/>
      <c r="P27" s="228">
        <f>COUNTIF(B27:O27,"Yes")</f>
        <v>0</v>
      </c>
      <c r="Q27" s="229" t="s">
        <v>311</v>
      </c>
    </row>
    <row r="28">
      <c r="A28" s="3"/>
      <c r="B28" s="230" t="s">
        <v>312</v>
      </c>
      <c r="C28" s="231"/>
      <c r="D28" s="230" t="s">
        <v>312</v>
      </c>
      <c r="E28" s="231"/>
      <c r="F28" s="230" t="s">
        <v>312</v>
      </c>
      <c r="G28" s="231"/>
      <c r="H28" s="230" t="s">
        <v>312</v>
      </c>
      <c r="I28" s="231"/>
      <c r="J28" s="230" t="s">
        <v>312</v>
      </c>
      <c r="K28" s="231"/>
      <c r="L28" s="230" t="s">
        <v>312</v>
      </c>
      <c r="M28" s="231"/>
      <c r="N28" s="230" t="s">
        <v>312</v>
      </c>
      <c r="O28" s="231"/>
      <c r="P28" s="232">
        <f>SUM(C28,E28,G28,I28,K28,M28,O28)/7</f>
        <v>0</v>
      </c>
      <c r="Q28" s="230" t="s">
        <v>313</v>
      </c>
    </row>
    <row r="29" ht="10.5" customHeight="1">
      <c r="A29" s="233"/>
      <c r="B29" s="55"/>
      <c r="C29" s="55"/>
      <c r="D29" s="55"/>
      <c r="E29" s="55"/>
      <c r="F29" s="55"/>
      <c r="G29" s="55"/>
      <c r="H29" s="55"/>
      <c r="I29" s="55"/>
      <c r="J29" s="55"/>
      <c r="K29" s="55"/>
      <c r="L29" s="55"/>
      <c r="M29" s="55"/>
      <c r="N29" s="55"/>
      <c r="O29" s="55"/>
      <c r="P29" s="55"/>
      <c r="Q29" s="54"/>
    </row>
    <row r="30">
      <c r="A30" s="204"/>
      <c r="B30" s="240">
        <v>46251.0</v>
      </c>
      <c r="C30" s="24"/>
      <c r="D30" s="240">
        <v>46252.0</v>
      </c>
      <c r="E30" s="24"/>
      <c r="F30" s="240">
        <v>46253.0</v>
      </c>
      <c r="G30" s="24"/>
      <c r="H30" s="240">
        <v>46254.0</v>
      </c>
      <c r="I30" s="24"/>
      <c r="J30" s="240">
        <v>46255.0</v>
      </c>
      <c r="K30" s="24"/>
      <c r="L30" s="240">
        <v>46256.0</v>
      </c>
      <c r="M30" s="24"/>
      <c r="N30" s="240">
        <v>46257.0</v>
      </c>
      <c r="O30" s="24"/>
      <c r="P30" s="206">
        <f>SUM(B31,D31,F31,H31,J31,L31,N31)</f>
        <v>0</v>
      </c>
      <c r="Q30" s="207"/>
    </row>
    <row r="31">
      <c r="A31" s="49"/>
      <c r="B31" s="210"/>
      <c r="C31" s="209" t="s">
        <v>295</v>
      </c>
      <c r="D31" s="210"/>
      <c r="E31" s="209" t="s">
        <v>295</v>
      </c>
      <c r="F31" s="210"/>
      <c r="G31" s="209" t="s">
        <v>295</v>
      </c>
      <c r="H31" s="210"/>
      <c r="I31" s="209" t="s">
        <v>295</v>
      </c>
      <c r="J31" s="210"/>
      <c r="K31" s="209" t="s">
        <v>295</v>
      </c>
      <c r="L31" s="210"/>
      <c r="M31" s="209" t="s">
        <v>295</v>
      </c>
      <c r="N31" s="210"/>
      <c r="O31" s="209" t="s">
        <v>295</v>
      </c>
      <c r="P31" s="49"/>
      <c r="Q31" s="49"/>
    </row>
    <row r="32">
      <c r="A32" s="49"/>
      <c r="B32" s="213"/>
      <c r="C32" s="212"/>
      <c r="D32" s="213"/>
      <c r="E32" s="212"/>
      <c r="F32" s="213"/>
      <c r="G32" s="212"/>
      <c r="H32" s="213"/>
      <c r="I32" s="212"/>
      <c r="J32" s="213"/>
      <c r="K32" s="212"/>
      <c r="L32" s="213"/>
      <c r="M32" s="212"/>
      <c r="N32" s="213"/>
      <c r="O32" s="212"/>
      <c r="P32" s="49"/>
      <c r="Q32" s="49"/>
    </row>
    <row r="33">
      <c r="A33" s="49"/>
      <c r="B33" s="209" t="s">
        <v>302</v>
      </c>
      <c r="C33" s="209" t="s">
        <v>303</v>
      </c>
      <c r="D33" s="209" t="s">
        <v>302</v>
      </c>
      <c r="E33" s="209" t="s">
        <v>303</v>
      </c>
      <c r="F33" s="209" t="s">
        <v>302</v>
      </c>
      <c r="G33" s="209" t="s">
        <v>303</v>
      </c>
      <c r="H33" s="209" t="s">
        <v>302</v>
      </c>
      <c r="I33" s="209" t="s">
        <v>303</v>
      </c>
      <c r="J33" s="209" t="s">
        <v>302</v>
      </c>
      <c r="K33" s="209" t="s">
        <v>303</v>
      </c>
      <c r="L33" s="209" t="s">
        <v>302</v>
      </c>
      <c r="M33" s="209" t="s">
        <v>303</v>
      </c>
      <c r="N33" s="209" t="s">
        <v>302</v>
      </c>
      <c r="O33" s="209" t="s">
        <v>303</v>
      </c>
      <c r="P33" s="49"/>
      <c r="Q33" s="49"/>
    </row>
    <row r="34">
      <c r="A34" s="49"/>
      <c r="B34" s="214"/>
      <c r="C34" s="214"/>
      <c r="D34" s="214"/>
      <c r="E34" s="214"/>
      <c r="F34" s="214"/>
      <c r="G34" s="214"/>
      <c r="H34" s="214"/>
      <c r="I34" s="214"/>
      <c r="J34" s="214"/>
      <c r="K34" s="214"/>
      <c r="L34" s="214"/>
      <c r="M34" s="215"/>
      <c r="N34" s="214"/>
      <c r="O34" s="214"/>
      <c r="P34" s="3"/>
      <c r="Q34" s="3"/>
    </row>
    <row r="35">
      <c r="A35" s="216"/>
      <c r="B35" s="217" t="s">
        <v>305</v>
      </c>
      <c r="C35" s="24"/>
      <c r="D35" s="217" t="s">
        <v>305</v>
      </c>
      <c r="E35" s="24"/>
      <c r="F35" s="217" t="s">
        <v>305</v>
      </c>
      <c r="G35" s="24"/>
      <c r="H35" s="217" t="s">
        <v>305</v>
      </c>
      <c r="I35" s="24"/>
      <c r="J35" s="217" t="s">
        <v>305</v>
      </c>
      <c r="K35" s="24"/>
      <c r="L35" s="217" t="s">
        <v>305</v>
      </c>
      <c r="M35" s="24"/>
      <c r="N35" s="217" t="s">
        <v>305</v>
      </c>
      <c r="O35" s="24"/>
      <c r="P35" s="218" t="s">
        <v>306</v>
      </c>
      <c r="Q35" s="24"/>
    </row>
    <row r="36">
      <c r="A36" s="49"/>
      <c r="B36" s="219"/>
      <c r="C36" s="24"/>
      <c r="D36" s="219"/>
      <c r="E36" s="24"/>
      <c r="F36" s="219"/>
      <c r="G36" s="24"/>
      <c r="H36" s="219"/>
      <c r="I36" s="24"/>
      <c r="J36" s="219"/>
      <c r="K36" s="24"/>
      <c r="L36" s="219"/>
      <c r="M36" s="24"/>
      <c r="N36" s="219"/>
      <c r="O36" s="24"/>
      <c r="P36" s="219"/>
      <c r="Q36" s="24"/>
    </row>
    <row r="37">
      <c r="A37" s="49"/>
      <c r="B37" s="220" t="s">
        <v>307</v>
      </c>
      <c r="C37" s="221" t="b">
        <v>0</v>
      </c>
      <c r="D37" s="220" t="s">
        <v>307</v>
      </c>
      <c r="E37" s="223" t="b">
        <v>0</v>
      </c>
      <c r="F37" s="220" t="s">
        <v>307</v>
      </c>
      <c r="G37" s="223" t="b">
        <v>0</v>
      </c>
      <c r="H37" s="220" t="s">
        <v>307</v>
      </c>
      <c r="I37" s="223" t="b">
        <v>0</v>
      </c>
      <c r="J37" s="220" t="s">
        <v>307</v>
      </c>
      <c r="K37" s="223" t="b">
        <v>0</v>
      </c>
      <c r="L37" s="220" t="s">
        <v>307</v>
      </c>
      <c r="M37" s="223" t="b">
        <v>0</v>
      </c>
      <c r="N37" s="220" t="s">
        <v>307</v>
      </c>
      <c r="O37" s="223" t="b">
        <v>0</v>
      </c>
      <c r="P37" s="224">
        <f t="shared" ref="P37:P38" si="3">COUNTIF(B37:O37,True)/COUNTA(B37:O37)%/50</f>
        <v>0</v>
      </c>
      <c r="Q37" s="225" t="s">
        <v>308</v>
      </c>
    </row>
    <row r="38">
      <c r="A38" s="49"/>
      <c r="B38" s="220" t="s">
        <v>309</v>
      </c>
      <c r="C38" s="221" t="b">
        <v>0</v>
      </c>
      <c r="D38" s="220" t="s">
        <v>309</v>
      </c>
      <c r="E38" s="221" t="b">
        <v>0</v>
      </c>
      <c r="F38" s="220" t="s">
        <v>309</v>
      </c>
      <c r="G38" s="223" t="b">
        <v>0</v>
      </c>
      <c r="H38" s="220" t="s">
        <v>309</v>
      </c>
      <c r="I38" s="223" t="b">
        <v>0</v>
      </c>
      <c r="J38" s="220" t="s">
        <v>309</v>
      </c>
      <c r="K38" s="223" t="b">
        <v>0</v>
      </c>
      <c r="L38" s="220" t="s">
        <v>309</v>
      </c>
      <c r="M38" s="223" t="b">
        <v>0</v>
      </c>
      <c r="N38" s="220" t="s">
        <v>309</v>
      </c>
      <c r="O38" s="223" t="b">
        <v>0</v>
      </c>
      <c r="P38" s="224">
        <f t="shared" si="3"/>
        <v>0</v>
      </c>
      <c r="Q38" s="3"/>
    </row>
    <row r="39">
      <c r="A39" s="49"/>
      <c r="B39" s="226" t="s">
        <v>310</v>
      </c>
      <c r="C39" s="227"/>
      <c r="D39" s="226" t="s">
        <v>310</v>
      </c>
      <c r="E39" s="227"/>
      <c r="F39" s="226" t="s">
        <v>310</v>
      </c>
      <c r="G39" s="227"/>
      <c r="H39" s="226" t="s">
        <v>310</v>
      </c>
      <c r="I39" s="227"/>
      <c r="J39" s="226" t="s">
        <v>310</v>
      </c>
      <c r="K39" s="227"/>
      <c r="L39" s="226" t="s">
        <v>310</v>
      </c>
      <c r="M39" s="227"/>
      <c r="N39" s="226" t="s">
        <v>310</v>
      </c>
      <c r="O39" s="227"/>
      <c r="P39" s="228">
        <f>COUNTIF(B39:O39,"Yes")</f>
        <v>0</v>
      </c>
      <c r="Q39" s="229" t="s">
        <v>311</v>
      </c>
    </row>
    <row r="40">
      <c r="A40" s="3"/>
      <c r="B40" s="230" t="s">
        <v>312</v>
      </c>
      <c r="C40" s="231"/>
      <c r="D40" s="230" t="s">
        <v>312</v>
      </c>
      <c r="E40" s="231"/>
      <c r="F40" s="230" t="s">
        <v>312</v>
      </c>
      <c r="G40" s="231"/>
      <c r="H40" s="230" t="s">
        <v>312</v>
      </c>
      <c r="I40" s="231"/>
      <c r="J40" s="230" t="s">
        <v>312</v>
      </c>
      <c r="K40" s="231"/>
      <c r="L40" s="230" t="s">
        <v>312</v>
      </c>
      <c r="M40" s="231"/>
      <c r="N40" s="230" t="s">
        <v>312</v>
      </c>
      <c r="O40" s="231"/>
      <c r="P40" s="232">
        <f>SUM(C40,E40,G40,I40,K40,M40,O40)/7</f>
        <v>0</v>
      </c>
      <c r="Q40" s="230" t="s">
        <v>313</v>
      </c>
    </row>
    <row r="41" ht="10.5" customHeight="1">
      <c r="A41" s="233"/>
      <c r="B41" s="55"/>
      <c r="C41" s="55"/>
      <c r="D41" s="55"/>
      <c r="E41" s="55"/>
      <c r="F41" s="55"/>
      <c r="G41" s="55"/>
      <c r="H41" s="55"/>
      <c r="I41" s="55"/>
      <c r="J41" s="55"/>
      <c r="K41" s="55"/>
      <c r="L41" s="55"/>
      <c r="M41" s="55"/>
      <c r="N41" s="55"/>
      <c r="O41" s="55"/>
      <c r="P41" s="55"/>
      <c r="Q41" s="54"/>
    </row>
    <row r="42">
      <c r="A42" s="204"/>
      <c r="B42" s="240">
        <v>46258.0</v>
      </c>
      <c r="C42" s="24"/>
      <c r="D42" s="240">
        <v>46259.0</v>
      </c>
      <c r="E42" s="24"/>
      <c r="F42" s="240">
        <v>46260.0</v>
      </c>
      <c r="G42" s="24"/>
      <c r="H42" s="240">
        <v>46261.0</v>
      </c>
      <c r="I42" s="24"/>
      <c r="J42" s="240">
        <v>46262.0</v>
      </c>
      <c r="K42" s="24"/>
      <c r="L42" s="240">
        <v>46263.0</v>
      </c>
      <c r="M42" s="24"/>
      <c r="N42" s="240">
        <v>46264.0</v>
      </c>
      <c r="O42" s="24"/>
      <c r="P42" s="206">
        <f>SUM(B43,D43,F43,H43,J43,L43,N43)</f>
        <v>0</v>
      </c>
      <c r="Q42" s="207"/>
    </row>
    <row r="43">
      <c r="A43" s="49"/>
      <c r="B43" s="210"/>
      <c r="C43" s="209" t="s">
        <v>295</v>
      </c>
      <c r="D43" s="210"/>
      <c r="E43" s="209" t="s">
        <v>295</v>
      </c>
      <c r="F43" s="210"/>
      <c r="G43" s="209" t="s">
        <v>295</v>
      </c>
      <c r="H43" s="210"/>
      <c r="I43" s="209" t="s">
        <v>295</v>
      </c>
      <c r="J43" s="210"/>
      <c r="K43" s="209" t="s">
        <v>295</v>
      </c>
      <c r="L43" s="210"/>
      <c r="M43" s="209" t="s">
        <v>295</v>
      </c>
      <c r="N43" s="210"/>
      <c r="O43" s="209" t="s">
        <v>295</v>
      </c>
      <c r="P43" s="49"/>
      <c r="Q43" s="49"/>
    </row>
    <row r="44">
      <c r="A44" s="49"/>
      <c r="B44" s="213"/>
      <c r="C44" s="212"/>
      <c r="D44" s="213"/>
      <c r="E44" s="212"/>
      <c r="F44" s="213"/>
      <c r="G44" s="212"/>
      <c r="H44" s="213"/>
      <c r="I44" s="212"/>
      <c r="J44" s="213"/>
      <c r="K44" s="212"/>
      <c r="L44" s="213"/>
      <c r="M44" s="212"/>
      <c r="N44" s="213"/>
      <c r="O44" s="212"/>
      <c r="P44" s="49"/>
      <c r="Q44" s="49"/>
    </row>
    <row r="45">
      <c r="A45" s="49"/>
      <c r="B45" s="209" t="s">
        <v>302</v>
      </c>
      <c r="C45" s="209" t="s">
        <v>303</v>
      </c>
      <c r="D45" s="209" t="s">
        <v>302</v>
      </c>
      <c r="E45" s="209" t="s">
        <v>303</v>
      </c>
      <c r="F45" s="209" t="s">
        <v>302</v>
      </c>
      <c r="G45" s="209" t="s">
        <v>303</v>
      </c>
      <c r="H45" s="209" t="s">
        <v>302</v>
      </c>
      <c r="I45" s="209" t="s">
        <v>303</v>
      </c>
      <c r="J45" s="209" t="s">
        <v>302</v>
      </c>
      <c r="K45" s="209" t="s">
        <v>303</v>
      </c>
      <c r="L45" s="209" t="s">
        <v>302</v>
      </c>
      <c r="M45" s="209" t="s">
        <v>303</v>
      </c>
      <c r="N45" s="209" t="s">
        <v>302</v>
      </c>
      <c r="O45" s="209" t="s">
        <v>303</v>
      </c>
      <c r="P45" s="49"/>
      <c r="Q45" s="49"/>
    </row>
    <row r="46">
      <c r="A46" s="49"/>
      <c r="B46" s="214"/>
      <c r="C46" s="214"/>
      <c r="D46" s="214"/>
      <c r="E46" s="214"/>
      <c r="F46" s="214"/>
      <c r="G46" s="214"/>
      <c r="H46" s="214"/>
      <c r="I46" s="214"/>
      <c r="J46" s="214"/>
      <c r="K46" s="214"/>
      <c r="L46" s="214"/>
      <c r="M46" s="215"/>
      <c r="N46" s="214"/>
      <c r="O46" s="214"/>
      <c r="P46" s="3"/>
      <c r="Q46" s="3"/>
    </row>
    <row r="47">
      <c r="A47" s="216"/>
      <c r="B47" s="217" t="s">
        <v>305</v>
      </c>
      <c r="C47" s="24"/>
      <c r="D47" s="217" t="s">
        <v>305</v>
      </c>
      <c r="E47" s="24"/>
      <c r="F47" s="217" t="s">
        <v>305</v>
      </c>
      <c r="G47" s="24"/>
      <c r="H47" s="217" t="s">
        <v>305</v>
      </c>
      <c r="I47" s="24"/>
      <c r="J47" s="217" t="s">
        <v>305</v>
      </c>
      <c r="K47" s="24"/>
      <c r="L47" s="217" t="s">
        <v>305</v>
      </c>
      <c r="M47" s="24"/>
      <c r="N47" s="217" t="s">
        <v>305</v>
      </c>
      <c r="O47" s="24"/>
      <c r="P47" s="218" t="s">
        <v>306</v>
      </c>
      <c r="Q47" s="24"/>
    </row>
    <row r="48">
      <c r="A48" s="49"/>
      <c r="B48" s="219"/>
      <c r="C48" s="24"/>
      <c r="D48" s="219"/>
      <c r="E48" s="24"/>
      <c r="F48" s="219"/>
      <c r="G48" s="24"/>
      <c r="H48" s="219"/>
      <c r="I48" s="24"/>
      <c r="J48" s="219"/>
      <c r="K48" s="24"/>
      <c r="L48" s="219"/>
      <c r="M48" s="24"/>
      <c r="N48" s="219"/>
      <c r="O48" s="24"/>
      <c r="P48" s="219"/>
      <c r="Q48" s="24"/>
    </row>
    <row r="49">
      <c r="A49" s="49"/>
      <c r="B49" s="220" t="s">
        <v>307</v>
      </c>
      <c r="C49" s="221" t="b">
        <v>0</v>
      </c>
      <c r="D49" s="220" t="s">
        <v>307</v>
      </c>
      <c r="E49" s="223" t="b">
        <v>0</v>
      </c>
      <c r="F49" s="220" t="s">
        <v>307</v>
      </c>
      <c r="G49" s="223" t="b">
        <v>0</v>
      </c>
      <c r="H49" s="220" t="s">
        <v>307</v>
      </c>
      <c r="I49" s="223" t="b">
        <v>0</v>
      </c>
      <c r="J49" s="220" t="s">
        <v>307</v>
      </c>
      <c r="K49" s="223" t="b">
        <v>0</v>
      </c>
      <c r="L49" s="220" t="s">
        <v>307</v>
      </c>
      <c r="M49" s="223" t="b">
        <v>0</v>
      </c>
      <c r="N49" s="220" t="s">
        <v>307</v>
      </c>
      <c r="O49" s="223" t="b">
        <v>0</v>
      </c>
      <c r="P49" s="224">
        <f t="shared" ref="P49:P50" si="4">COUNTIF(B49:O49,True)/COUNTA(B49:O49)%/50</f>
        <v>0</v>
      </c>
      <c r="Q49" s="225" t="s">
        <v>308</v>
      </c>
    </row>
    <row r="50">
      <c r="A50" s="49"/>
      <c r="B50" s="220" t="s">
        <v>309</v>
      </c>
      <c r="C50" s="221" t="b">
        <v>0</v>
      </c>
      <c r="D50" s="220" t="s">
        <v>309</v>
      </c>
      <c r="E50" s="221" t="b">
        <v>0</v>
      </c>
      <c r="F50" s="220" t="s">
        <v>309</v>
      </c>
      <c r="G50" s="223" t="b">
        <v>0</v>
      </c>
      <c r="H50" s="220" t="s">
        <v>309</v>
      </c>
      <c r="I50" s="223" t="b">
        <v>0</v>
      </c>
      <c r="J50" s="220" t="s">
        <v>309</v>
      </c>
      <c r="K50" s="223" t="b">
        <v>0</v>
      </c>
      <c r="L50" s="220" t="s">
        <v>309</v>
      </c>
      <c r="M50" s="223" t="b">
        <v>0</v>
      </c>
      <c r="N50" s="220" t="s">
        <v>309</v>
      </c>
      <c r="O50" s="223" t="b">
        <v>0</v>
      </c>
      <c r="P50" s="224">
        <f t="shared" si="4"/>
        <v>0</v>
      </c>
      <c r="Q50" s="3"/>
    </row>
    <row r="51">
      <c r="A51" s="49"/>
      <c r="B51" s="226" t="s">
        <v>310</v>
      </c>
      <c r="C51" s="227"/>
      <c r="D51" s="226" t="s">
        <v>310</v>
      </c>
      <c r="E51" s="227"/>
      <c r="F51" s="226" t="s">
        <v>310</v>
      </c>
      <c r="G51" s="227"/>
      <c r="H51" s="226" t="s">
        <v>310</v>
      </c>
      <c r="I51" s="227"/>
      <c r="J51" s="226" t="s">
        <v>310</v>
      </c>
      <c r="K51" s="227"/>
      <c r="L51" s="226" t="s">
        <v>310</v>
      </c>
      <c r="M51" s="227"/>
      <c r="N51" s="226" t="s">
        <v>310</v>
      </c>
      <c r="O51" s="227"/>
      <c r="P51" s="228">
        <f>COUNTIF(B51:O51,"Yes")</f>
        <v>0</v>
      </c>
      <c r="Q51" s="229" t="s">
        <v>311</v>
      </c>
    </row>
    <row r="52">
      <c r="A52" s="3"/>
      <c r="B52" s="230" t="s">
        <v>312</v>
      </c>
      <c r="C52" s="231"/>
      <c r="D52" s="230" t="s">
        <v>312</v>
      </c>
      <c r="E52" s="231"/>
      <c r="F52" s="230" t="s">
        <v>312</v>
      </c>
      <c r="G52" s="231"/>
      <c r="H52" s="230" t="s">
        <v>312</v>
      </c>
      <c r="I52" s="231"/>
      <c r="J52" s="230" t="s">
        <v>312</v>
      </c>
      <c r="K52" s="231"/>
      <c r="L52" s="230" t="s">
        <v>312</v>
      </c>
      <c r="M52" s="231"/>
      <c r="N52" s="230" t="s">
        <v>312</v>
      </c>
      <c r="O52" s="231"/>
      <c r="P52" s="232">
        <f>SUM(C52,E52,G52,I52,K52,M52,O52)/7</f>
        <v>0</v>
      </c>
      <c r="Q52" s="230" t="s">
        <v>313</v>
      </c>
    </row>
  </sheetData>
  <mergeCells count="139">
    <mergeCell ref="B18:C18"/>
    <mergeCell ref="B23:C23"/>
    <mergeCell ref="A47:A52"/>
    <mergeCell ref="B47:C47"/>
    <mergeCell ref="D47:E47"/>
    <mergeCell ref="B48:C48"/>
    <mergeCell ref="D48:E48"/>
    <mergeCell ref="A23:A28"/>
    <mergeCell ref="B24:C24"/>
    <mergeCell ref="A30:A34"/>
    <mergeCell ref="B30:C30"/>
    <mergeCell ref="A35:A40"/>
    <mergeCell ref="B35:C35"/>
    <mergeCell ref="D35:E35"/>
    <mergeCell ref="N18:O18"/>
    <mergeCell ref="P18:P22"/>
    <mergeCell ref="Q18:Q22"/>
    <mergeCell ref="H23:I23"/>
    <mergeCell ref="J23:K23"/>
    <mergeCell ref="N23:O23"/>
    <mergeCell ref="P23:Q23"/>
    <mergeCell ref="A18:A22"/>
    <mergeCell ref="D18:E18"/>
    <mergeCell ref="F18:G18"/>
    <mergeCell ref="H18:I18"/>
    <mergeCell ref="J18:K18"/>
    <mergeCell ref="L18:M18"/>
    <mergeCell ref="L23:M23"/>
    <mergeCell ref="D23:E23"/>
    <mergeCell ref="F23:G23"/>
    <mergeCell ref="D24:E24"/>
    <mergeCell ref="F24:G24"/>
    <mergeCell ref="H24:I24"/>
    <mergeCell ref="J24:K24"/>
    <mergeCell ref="L24:M24"/>
    <mergeCell ref="N30:O30"/>
    <mergeCell ref="A41:Q41"/>
    <mergeCell ref="N24:O24"/>
    <mergeCell ref="P24:Q24"/>
    <mergeCell ref="Q25:Q26"/>
    <mergeCell ref="A29:Q29"/>
    <mergeCell ref="D30:E30"/>
    <mergeCell ref="F30:G30"/>
    <mergeCell ref="H30:I30"/>
    <mergeCell ref="H48:I48"/>
    <mergeCell ref="J48:K48"/>
    <mergeCell ref="P48:Q48"/>
    <mergeCell ref="Q49:Q50"/>
    <mergeCell ref="F4:G4"/>
    <mergeCell ref="H4:I4"/>
    <mergeCell ref="D5:E5"/>
    <mergeCell ref="F5:G5"/>
    <mergeCell ref="D6:E6"/>
    <mergeCell ref="F6:G6"/>
    <mergeCell ref="D11:E11"/>
    <mergeCell ref="F11:G11"/>
    <mergeCell ref="H11:I11"/>
    <mergeCell ref="N12:O12"/>
    <mergeCell ref="P12:Q12"/>
    <mergeCell ref="J11:K11"/>
    <mergeCell ref="L11:M11"/>
    <mergeCell ref="N11:O11"/>
    <mergeCell ref="P11:Q11"/>
    <mergeCell ref="D12:E12"/>
    <mergeCell ref="F12:G12"/>
    <mergeCell ref="H12:I12"/>
    <mergeCell ref="D2:E3"/>
    <mergeCell ref="B4:C4"/>
    <mergeCell ref="D4:E4"/>
    <mergeCell ref="J4:K4"/>
    <mergeCell ref="L4:M4"/>
    <mergeCell ref="N4:O4"/>
    <mergeCell ref="P4:P5"/>
    <mergeCell ref="N5:O5"/>
    <mergeCell ref="N6:O6"/>
    <mergeCell ref="P6:P10"/>
    <mergeCell ref="Q6:Q10"/>
    <mergeCell ref="Q13:Q14"/>
    <mergeCell ref="H5:I5"/>
    <mergeCell ref="J5:K5"/>
    <mergeCell ref="H6:I6"/>
    <mergeCell ref="J6:K6"/>
    <mergeCell ref="L6:M6"/>
    <mergeCell ref="B1:G1"/>
    <mergeCell ref="H1:I3"/>
    <mergeCell ref="J1:O3"/>
    <mergeCell ref="P1:Q3"/>
    <mergeCell ref="F2:G2"/>
    <mergeCell ref="F3:G3"/>
    <mergeCell ref="Q4:Q5"/>
    <mergeCell ref="L5:M5"/>
    <mergeCell ref="J12:K12"/>
    <mergeCell ref="L12:M12"/>
    <mergeCell ref="A17:Q17"/>
    <mergeCell ref="A1:A5"/>
    <mergeCell ref="B5:C5"/>
    <mergeCell ref="A6:A10"/>
    <mergeCell ref="B6:C6"/>
    <mergeCell ref="A11:A16"/>
    <mergeCell ref="B11:C11"/>
    <mergeCell ref="B12:C12"/>
    <mergeCell ref="L35:M35"/>
    <mergeCell ref="N35:O35"/>
    <mergeCell ref="J30:K30"/>
    <mergeCell ref="L30:M30"/>
    <mergeCell ref="P30:P34"/>
    <mergeCell ref="Q30:Q34"/>
    <mergeCell ref="F35:G35"/>
    <mergeCell ref="H35:I35"/>
    <mergeCell ref="J35:K35"/>
    <mergeCell ref="P35:Q35"/>
    <mergeCell ref="P36:Q36"/>
    <mergeCell ref="Q37:Q38"/>
    <mergeCell ref="B36:C36"/>
    <mergeCell ref="D36:E36"/>
    <mergeCell ref="F36:G36"/>
    <mergeCell ref="H36:I36"/>
    <mergeCell ref="J36:K36"/>
    <mergeCell ref="L36:M36"/>
    <mergeCell ref="N36:O36"/>
    <mergeCell ref="N42:O42"/>
    <mergeCell ref="P42:P46"/>
    <mergeCell ref="Q42:Q46"/>
    <mergeCell ref="A42:A46"/>
    <mergeCell ref="B42:C42"/>
    <mergeCell ref="D42:E42"/>
    <mergeCell ref="F42:G42"/>
    <mergeCell ref="H42:I42"/>
    <mergeCell ref="J42:K42"/>
    <mergeCell ref="L42:M42"/>
    <mergeCell ref="L48:M48"/>
    <mergeCell ref="N48:O48"/>
    <mergeCell ref="F47:G47"/>
    <mergeCell ref="H47:I47"/>
    <mergeCell ref="J47:K47"/>
    <mergeCell ref="L47:M47"/>
    <mergeCell ref="N47:O47"/>
    <mergeCell ref="P47:Q47"/>
    <mergeCell ref="F48:G48"/>
  </mergeCells>
  <dataValidations>
    <dataValidation type="list" allowBlank="1" showErrorMessage="1" sqref="A11 A23 A35 A47">
      <formula1>"Don't Push/ Strict Paces,Focus on Recovery Don't Push,Focus HEAVILY on Rolling/ Stretching/ Recovery,Fuel Every Quality Session/ TRACK and see what works/ doesn't,Prep/Fuel Like Race Week,If you feel good; close last 10-20% of hard/ long workouts faster,S"&amp;"tay on Top of the Little Things / Be Ready to Push,Focus More on Strength,Last EASY (50%) Strength: Sat or Sun,Schedule Race Prep Call,Communicate Daily w/ Coach"</formula1>
    </dataValidation>
    <dataValidation type="list" allowBlank="1" showErrorMessage="1" sqref="C16 E16 G16 I16 K16 M16 O16 C28 E28 G28 I28 K28 M28 O28 C40 E40 G40 I40 K40 M40 O40 C52 E52 G52 I52 K52 M52 O52">
      <formula1>"1,2,3,4,5,6,7,8,9,10"</formula1>
    </dataValidation>
    <dataValidation type="list" allowBlank="1" showErrorMessage="1" sqref="A6 A18 A30 A42">
      <formula1>"REST WEEK,BUILD WEEK,PUSH WEEK,PEAK WEEK,RACE WEEK,INJURED,ILLNESS,RETURN WEEK,CROSS TRAINING,TRAVEL/ LIMITED WEEK"</formula1>
    </dataValidation>
    <dataValidation type="list" allowBlank="1" showErrorMessage="1" sqref="C15 E15 G15 I15 K15 M15 O15 C27 E27 G27 I27 K27 M27 O27 C39 E39 G39 I39 K39 M39 O39 C51 E51 G51 I51 K51 M51 O51">
      <formula1>"Yes,No"</formula1>
    </dataValidation>
  </dataValidations>
  <hyperlinks>
    <hyperlink r:id="rId1" ref="D2"/>
    <hyperlink r:id="rId2" ref="F2"/>
    <hyperlink r:id="rId3" ref="F3"/>
  </hyperlinks>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8.63"/>
    <col customWidth="1" min="4" max="4" width="18.25"/>
    <col customWidth="1" min="6" max="6" width="19.0"/>
    <col customWidth="1" min="7" max="7" width="14.25"/>
    <col customWidth="1" min="8" max="8" width="18.25"/>
    <col customWidth="1" min="10" max="10" width="18.63"/>
    <col customWidth="1" min="12" max="12" width="18.5"/>
    <col customWidth="1" min="14" max="14" width="19.0"/>
    <col customWidth="1" min="17" max="17" width="15.25"/>
  </cols>
  <sheetData>
    <row r="1">
      <c r="A1" s="238" t="str">
        <f>August!A1</f>
        <v>STRAVA</v>
      </c>
      <c r="B1" s="243" t="s">
        <v>382</v>
      </c>
      <c r="C1" s="23"/>
      <c r="D1" s="23"/>
      <c r="E1" s="23"/>
      <c r="F1" s="23"/>
      <c r="G1" s="23"/>
      <c r="H1" s="191" t="s">
        <v>272</v>
      </c>
      <c r="I1" s="48"/>
      <c r="J1" s="192"/>
      <c r="K1" s="48"/>
      <c r="L1" s="48"/>
      <c r="M1" s="48"/>
      <c r="N1" s="48"/>
      <c r="O1" s="48"/>
      <c r="P1" s="193"/>
      <c r="Q1" s="42"/>
    </row>
    <row r="2">
      <c r="A2" s="49"/>
      <c r="B2" s="194" t="s">
        <v>274</v>
      </c>
      <c r="C2" s="237" t="str">
        <f>August!C2</f>
        <v>1.5 mile</v>
      </c>
      <c r="D2" s="196" t="s">
        <v>276</v>
      </c>
      <c r="E2" s="48"/>
      <c r="F2" s="197" t="s">
        <v>277</v>
      </c>
      <c r="G2" s="24"/>
      <c r="H2" s="50"/>
      <c r="P2" s="50"/>
      <c r="Q2" s="51"/>
    </row>
    <row r="3">
      <c r="A3" s="49"/>
      <c r="B3" s="198" t="s">
        <v>278</v>
      </c>
      <c r="C3" s="237" t="str">
        <f>August!C3</f>
        <v>1.5 mile</v>
      </c>
      <c r="D3" s="50"/>
      <c r="F3" s="199" t="s">
        <v>279</v>
      </c>
      <c r="G3" s="24"/>
      <c r="H3" s="50"/>
      <c r="P3" s="53"/>
      <c r="Q3" s="54"/>
    </row>
    <row r="4">
      <c r="A4" s="49"/>
      <c r="B4" s="200" t="s">
        <v>280</v>
      </c>
      <c r="C4" s="24"/>
      <c r="D4" s="201" t="s">
        <v>281</v>
      </c>
      <c r="E4" s="24"/>
      <c r="F4" s="201" t="s">
        <v>282</v>
      </c>
      <c r="G4" s="24"/>
      <c r="H4" s="201" t="s">
        <v>283</v>
      </c>
      <c r="I4" s="24"/>
      <c r="J4" s="201" t="s">
        <v>284</v>
      </c>
      <c r="K4" s="24"/>
      <c r="L4" s="201" t="s">
        <v>285</v>
      </c>
      <c r="M4" s="24"/>
      <c r="N4" s="201" t="s">
        <v>286</v>
      </c>
      <c r="O4" s="24"/>
      <c r="P4" s="202" t="s">
        <v>287</v>
      </c>
      <c r="Q4" s="202" t="s">
        <v>288</v>
      </c>
    </row>
    <row r="5">
      <c r="A5" s="3"/>
      <c r="B5" s="203" t="str">
        <f>August!B5</f>
        <v>EASY RUN</v>
      </c>
      <c r="C5" s="24"/>
      <c r="D5" s="203" t="str">
        <f>August!D5</f>
        <v>HARD WORKOUT
&amp; STRENGTH</v>
      </c>
      <c r="E5" s="24"/>
      <c r="F5" s="203" t="str">
        <f>August!F5</f>
        <v>EASY RUN</v>
      </c>
      <c r="G5" s="24"/>
      <c r="H5" s="203" t="str">
        <f>August!H5</f>
        <v>HARD WORKOUT
&amp; STRENGTH</v>
      </c>
      <c r="I5" s="24"/>
      <c r="J5" s="203" t="str">
        <f>August!J5</f>
        <v>REST</v>
      </c>
      <c r="K5" s="24"/>
      <c r="L5" s="203" t="str">
        <f>August!L5</f>
        <v>LONG RUN</v>
      </c>
      <c r="M5" s="24"/>
      <c r="N5" s="239" t="str">
        <f>August!N5</f>
        <v>REST OR EASY RUN</v>
      </c>
      <c r="O5" s="24"/>
      <c r="P5" s="54"/>
      <c r="Q5" s="54"/>
    </row>
    <row r="6">
      <c r="A6" s="204"/>
      <c r="B6" s="240">
        <v>46265.0</v>
      </c>
      <c r="C6" s="24"/>
      <c r="D6" s="240">
        <v>46266.0</v>
      </c>
      <c r="E6" s="24"/>
      <c r="F6" s="240">
        <v>46267.0</v>
      </c>
      <c r="G6" s="24"/>
      <c r="H6" s="240">
        <v>46268.0</v>
      </c>
      <c r="I6" s="24"/>
      <c r="J6" s="240">
        <v>46269.0</v>
      </c>
      <c r="K6" s="24"/>
      <c r="L6" s="240">
        <v>46270.0</v>
      </c>
      <c r="M6" s="24"/>
      <c r="N6" s="240">
        <v>46271.0</v>
      </c>
      <c r="O6" s="24"/>
      <c r="P6" s="206">
        <f>SUM(B7,D7,F7,H7,J7,L7,N7)</f>
        <v>0</v>
      </c>
      <c r="Q6" s="207"/>
    </row>
    <row r="7">
      <c r="A7" s="49"/>
      <c r="B7" s="210"/>
      <c r="C7" s="209" t="s">
        <v>295</v>
      </c>
      <c r="D7" s="210"/>
      <c r="E7" s="209" t="s">
        <v>295</v>
      </c>
      <c r="F7" s="210"/>
      <c r="G7" s="209" t="s">
        <v>295</v>
      </c>
      <c r="H7" s="210"/>
      <c r="I7" s="209" t="s">
        <v>295</v>
      </c>
      <c r="J7" s="210"/>
      <c r="K7" s="209" t="s">
        <v>295</v>
      </c>
      <c r="L7" s="210"/>
      <c r="M7" s="209" t="s">
        <v>295</v>
      </c>
      <c r="N7" s="210"/>
      <c r="O7" s="209" t="s">
        <v>295</v>
      </c>
      <c r="P7" s="49"/>
      <c r="Q7" s="49"/>
    </row>
    <row r="8">
      <c r="A8" s="49"/>
      <c r="B8" s="213"/>
      <c r="C8" s="212"/>
      <c r="D8" s="213"/>
      <c r="E8" s="212"/>
      <c r="F8" s="213"/>
      <c r="G8" s="212"/>
      <c r="H8" s="213"/>
      <c r="I8" s="212"/>
      <c r="J8" s="213"/>
      <c r="K8" s="212"/>
      <c r="L8" s="213"/>
      <c r="M8" s="212"/>
      <c r="N8" s="213"/>
      <c r="O8" s="212"/>
      <c r="P8" s="49"/>
      <c r="Q8" s="49"/>
    </row>
    <row r="9">
      <c r="A9" s="49"/>
      <c r="B9" s="209" t="s">
        <v>302</v>
      </c>
      <c r="C9" s="209" t="s">
        <v>303</v>
      </c>
      <c r="D9" s="209" t="s">
        <v>302</v>
      </c>
      <c r="E9" s="209" t="s">
        <v>303</v>
      </c>
      <c r="F9" s="209" t="s">
        <v>302</v>
      </c>
      <c r="G9" s="209" t="s">
        <v>303</v>
      </c>
      <c r="H9" s="209" t="s">
        <v>302</v>
      </c>
      <c r="I9" s="209" t="s">
        <v>303</v>
      </c>
      <c r="J9" s="209" t="s">
        <v>302</v>
      </c>
      <c r="K9" s="209" t="s">
        <v>303</v>
      </c>
      <c r="L9" s="209" t="s">
        <v>302</v>
      </c>
      <c r="M9" s="209" t="s">
        <v>303</v>
      </c>
      <c r="N9" s="209" t="s">
        <v>302</v>
      </c>
      <c r="O9" s="209" t="s">
        <v>303</v>
      </c>
      <c r="P9" s="49"/>
      <c r="Q9" s="49"/>
    </row>
    <row r="10">
      <c r="A10" s="49"/>
      <c r="B10" s="214"/>
      <c r="C10" s="214"/>
      <c r="D10" s="214"/>
      <c r="E10" s="214"/>
      <c r="F10" s="214"/>
      <c r="G10" s="214"/>
      <c r="H10" s="214"/>
      <c r="I10" s="214"/>
      <c r="J10" s="214"/>
      <c r="K10" s="214"/>
      <c r="L10" s="214"/>
      <c r="M10" s="215"/>
      <c r="N10" s="214"/>
      <c r="O10" s="214"/>
      <c r="P10" s="3"/>
      <c r="Q10" s="3"/>
    </row>
    <row r="11">
      <c r="A11" s="216"/>
      <c r="B11" s="217" t="s">
        <v>305</v>
      </c>
      <c r="C11" s="24"/>
      <c r="D11" s="217" t="s">
        <v>305</v>
      </c>
      <c r="E11" s="24"/>
      <c r="F11" s="217" t="s">
        <v>305</v>
      </c>
      <c r="G11" s="24"/>
      <c r="H11" s="217" t="s">
        <v>305</v>
      </c>
      <c r="I11" s="24"/>
      <c r="J11" s="217" t="s">
        <v>305</v>
      </c>
      <c r="K11" s="24"/>
      <c r="L11" s="217" t="s">
        <v>305</v>
      </c>
      <c r="M11" s="24"/>
      <c r="N11" s="217" t="s">
        <v>305</v>
      </c>
      <c r="O11" s="24"/>
      <c r="P11" s="218" t="s">
        <v>306</v>
      </c>
      <c r="Q11" s="24"/>
    </row>
    <row r="12">
      <c r="A12" s="49"/>
      <c r="B12" s="219"/>
      <c r="C12" s="24"/>
      <c r="D12" s="219"/>
      <c r="E12" s="24"/>
      <c r="F12" s="219"/>
      <c r="G12" s="24"/>
      <c r="H12" s="219"/>
      <c r="I12" s="24"/>
      <c r="J12" s="219"/>
      <c r="K12" s="24"/>
      <c r="L12" s="219"/>
      <c r="M12" s="24"/>
      <c r="N12" s="219"/>
      <c r="O12" s="24"/>
      <c r="P12" s="219"/>
      <c r="Q12" s="24"/>
    </row>
    <row r="13">
      <c r="A13" s="49"/>
      <c r="B13" s="220" t="s">
        <v>307</v>
      </c>
      <c r="C13" s="221" t="b">
        <v>0</v>
      </c>
      <c r="D13" s="220" t="s">
        <v>307</v>
      </c>
      <c r="E13" s="223" t="b">
        <v>0</v>
      </c>
      <c r="F13" s="220" t="s">
        <v>307</v>
      </c>
      <c r="G13" s="223" t="b">
        <v>0</v>
      </c>
      <c r="H13" s="220" t="s">
        <v>307</v>
      </c>
      <c r="I13" s="223" t="b">
        <v>0</v>
      </c>
      <c r="J13" s="220" t="s">
        <v>307</v>
      </c>
      <c r="K13" s="223" t="b">
        <v>0</v>
      </c>
      <c r="L13" s="220" t="s">
        <v>307</v>
      </c>
      <c r="M13" s="223" t="b">
        <v>0</v>
      </c>
      <c r="N13" s="220" t="s">
        <v>307</v>
      </c>
      <c r="O13" s="223" t="b">
        <v>0</v>
      </c>
      <c r="P13" s="224">
        <f t="shared" ref="P13:P14" si="1">COUNTIF(B13:O13,True)/COUNTA(B13:O13)%/50</f>
        <v>0</v>
      </c>
      <c r="Q13" s="225" t="s">
        <v>308</v>
      </c>
    </row>
    <row r="14">
      <c r="A14" s="49"/>
      <c r="B14" s="220" t="s">
        <v>309</v>
      </c>
      <c r="C14" s="221" t="b">
        <v>0</v>
      </c>
      <c r="D14" s="220" t="s">
        <v>309</v>
      </c>
      <c r="E14" s="221" t="b">
        <v>0</v>
      </c>
      <c r="F14" s="220" t="s">
        <v>309</v>
      </c>
      <c r="G14" s="223" t="b">
        <v>0</v>
      </c>
      <c r="H14" s="220" t="s">
        <v>309</v>
      </c>
      <c r="I14" s="223" t="b">
        <v>0</v>
      </c>
      <c r="J14" s="220" t="s">
        <v>309</v>
      </c>
      <c r="K14" s="223" t="b">
        <v>0</v>
      </c>
      <c r="L14" s="220" t="s">
        <v>309</v>
      </c>
      <c r="M14" s="223" t="b">
        <v>0</v>
      </c>
      <c r="N14" s="220" t="s">
        <v>309</v>
      </c>
      <c r="O14" s="223" t="b">
        <v>0</v>
      </c>
      <c r="P14" s="224">
        <f t="shared" si="1"/>
        <v>0</v>
      </c>
      <c r="Q14" s="3"/>
    </row>
    <row r="15">
      <c r="A15" s="49"/>
      <c r="B15" s="226" t="s">
        <v>310</v>
      </c>
      <c r="C15" s="227"/>
      <c r="D15" s="226" t="s">
        <v>310</v>
      </c>
      <c r="E15" s="227"/>
      <c r="F15" s="226" t="s">
        <v>310</v>
      </c>
      <c r="G15" s="227"/>
      <c r="H15" s="226" t="s">
        <v>310</v>
      </c>
      <c r="I15" s="227"/>
      <c r="J15" s="226" t="s">
        <v>310</v>
      </c>
      <c r="K15" s="227"/>
      <c r="L15" s="226" t="s">
        <v>310</v>
      </c>
      <c r="M15" s="227"/>
      <c r="N15" s="226" t="s">
        <v>310</v>
      </c>
      <c r="O15" s="227"/>
      <c r="P15" s="228">
        <f>COUNTIF(B15:O15,"Yes")</f>
        <v>0</v>
      </c>
      <c r="Q15" s="229" t="s">
        <v>311</v>
      </c>
    </row>
    <row r="16">
      <c r="A16" s="3"/>
      <c r="B16" s="230" t="s">
        <v>312</v>
      </c>
      <c r="C16" s="231"/>
      <c r="D16" s="230" t="s">
        <v>312</v>
      </c>
      <c r="E16" s="231"/>
      <c r="F16" s="230" t="s">
        <v>312</v>
      </c>
      <c r="G16" s="231"/>
      <c r="H16" s="230" t="s">
        <v>312</v>
      </c>
      <c r="I16" s="231"/>
      <c r="J16" s="230" t="s">
        <v>312</v>
      </c>
      <c r="K16" s="231"/>
      <c r="L16" s="230" t="s">
        <v>312</v>
      </c>
      <c r="M16" s="231"/>
      <c r="N16" s="230" t="s">
        <v>312</v>
      </c>
      <c r="O16" s="231"/>
      <c r="P16" s="232">
        <f>SUM(C16,E16,G16,I16,K16,M16,O16)/7</f>
        <v>0</v>
      </c>
      <c r="Q16" s="230" t="s">
        <v>313</v>
      </c>
    </row>
    <row r="17" ht="10.5" customHeight="1">
      <c r="A17" s="233"/>
      <c r="B17" s="55"/>
      <c r="C17" s="55"/>
      <c r="D17" s="55"/>
      <c r="E17" s="55"/>
      <c r="F17" s="55"/>
      <c r="G17" s="55"/>
      <c r="H17" s="55"/>
      <c r="I17" s="55"/>
      <c r="J17" s="55"/>
      <c r="K17" s="55"/>
      <c r="L17" s="55"/>
      <c r="M17" s="55"/>
      <c r="N17" s="55"/>
      <c r="O17" s="55"/>
      <c r="P17" s="55"/>
      <c r="Q17" s="54"/>
    </row>
    <row r="18">
      <c r="A18" s="204"/>
      <c r="B18" s="240">
        <v>46272.0</v>
      </c>
      <c r="C18" s="24"/>
      <c r="D18" s="240">
        <v>46273.0</v>
      </c>
      <c r="E18" s="24"/>
      <c r="F18" s="240">
        <v>46274.0</v>
      </c>
      <c r="G18" s="24"/>
      <c r="H18" s="240">
        <v>46275.0</v>
      </c>
      <c r="I18" s="24"/>
      <c r="J18" s="240">
        <v>46276.0</v>
      </c>
      <c r="K18" s="24"/>
      <c r="L18" s="240">
        <v>46277.0</v>
      </c>
      <c r="M18" s="24"/>
      <c r="N18" s="240">
        <v>46278.0</v>
      </c>
      <c r="O18" s="24"/>
      <c r="P18" s="206">
        <f>SUM(B19,D19,F19,H19,J19,L19,N19)</f>
        <v>0</v>
      </c>
      <c r="Q18" s="207"/>
    </row>
    <row r="19">
      <c r="A19" s="49"/>
      <c r="B19" s="210"/>
      <c r="C19" s="209" t="s">
        <v>295</v>
      </c>
      <c r="D19" s="210"/>
      <c r="E19" s="209" t="s">
        <v>295</v>
      </c>
      <c r="F19" s="210"/>
      <c r="G19" s="209" t="s">
        <v>295</v>
      </c>
      <c r="H19" s="210"/>
      <c r="I19" s="209" t="s">
        <v>295</v>
      </c>
      <c r="J19" s="210"/>
      <c r="K19" s="209" t="s">
        <v>295</v>
      </c>
      <c r="L19" s="210"/>
      <c r="M19" s="209" t="s">
        <v>295</v>
      </c>
      <c r="N19" s="210"/>
      <c r="O19" s="209" t="s">
        <v>295</v>
      </c>
      <c r="P19" s="49"/>
      <c r="Q19" s="49"/>
    </row>
    <row r="20">
      <c r="A20" s="49"/>
      <c r="B20" s="213"/>
      <c r="C20" s="212"/>
      <c r="D20" s="213"/>
      <c r="E20" s="212"/>
      <c r="F20" s="213"/>
      <c r="G20" s="212"/>
      <c r="H20" s="213"/>
      <c r="I20" s="212"/>
      <c r="J20" s="213"/>
      <c r="K20" s="212"/>
      <c r="L20" s="213"/>
      <c r="M20" s="212"/>
      <c r="N20" s="213"/>
      <c r="O20" s="212"/>
      <c r="P20" s="49"/>
      <c r="Q20" s="49"/>
    </row>
    <row r="21">
      <c r="A21" s="49"/>
      <c r="B21" s="209" t="s">
        <v>302</v>
      </c>
      <c r="C21" s="209" t="s">
        <v>303</v>
      </c>
      <c r="D21" s="209" t="s">
        <v>302</v>
      </c>
      <c r="E21" s="209" t="s">
        <v>303</v>
      </c>
      <c r="F21" s="209" t="s">
        <v>302</v>
      </c>
      <c r="G21" s="209" t="s">
        <v>303</v>
      </c>
      <c r="H21" s="209" t="s">
        <v>302</v>
      </c>
      <c r="I21" s="209" t="s">
        <v>303</v>
      </c>
      <c r="J21" s="209" t="s">
        <v>302</v>
      </c>
      <c r="K21" s="209" t="s">
        <v>303</v>
      </c>
      <c r="L21" s="209" t="s">
        <v>302</v>
      </c>
      <c r="M21" s="209" t="s">
        <v>303</v>
      </c>
      <c r="N21" s="209" t="s">
        <v>302</v>
      </c>
      <c r="O21" s="209" t="s">
        <v>303</v>
      </c>
      <c r="P21" s="49"/>
      <c r="Q21" s="49"/>
    </row>
    <row r="22">
      <c r="A22" s="49"/>
      <c r="B22" s="214"/>
      <c r="C22" s="214"/>
      <c r="D22" s="214"/>
      <c r="E22" s="214"/>
      <c r="F22" s="214"/>
      <c r="G22" s="214"/>
      <c r="H22" s="214"/>
      <c r="I22" s="214"/>
      <c r="J22" s="214"/>
      <c r="K22" s="214"/>
      <c r="L22" s="214"/>
      <c r="M22" s="215"/>
      <c r="N22" s="214"/>
      <c r="O22" s="214"/>
      <c r="P22" s="3"/>
      <c r="Q22" s="3"/>
    </row>
    <row r="23">
      <c r="A23" s="216"/>
      <c r="B23" s="217" t="s">
        <v>305</v>
      </c>
      <c r="C23" s="24"/>
      <c r="D23" s="217" t="s">
        <v>305</v>
      </c>
      <c r="E23" s="24"/>
      <c r="F23" s="217" t="s">
        <v>305</v>
      </c>
      <c r="G23" s="24"/>
      <c r="H23" s="217" t="s">
        <v>305</v>
      </c>
      <c r="I23" s="24"/>
      <c r="J23" s="217" t="s">
        <v>305</v>
      </c>
      <c r="K23" s="24"/>
      <c r="L23" s="217" t="s">
        <v>305</v>
      </c>
      <c r="M23" s="24"/>
      <c r="N23" s="217" t="s">
        <v>305</v>
      </c>
      <c r="O23" s="24"/>
      <c r="P23" s="218" t="s">
        <v>306</v>
      </c>
      <c r="Q23" s="24"/>
    </row>
    <row r="24">
      <c r="A24" s="49"/>
      <c r="B24" s="219"/>
      <c r="C24" s="24"/>
      <c r="D24" s="219"/>
      <c r="E24" s="24"/>
      <c r="F24" s="219"/>
      <c r="G24" s="24"/>
      <c r="H24" s="219"/>
      <c r="I24" s="24"/>
      <c r="J24" s="219"/>
      <c r="K24" s="24"/>
      <c r="L24" s="219"/>
      <c r="M24" s="24"/>
      <c r="N24" s="219"/>
      <c r="O24" s="24"/>
      <c r="P24" s="219"/>
      <c r="Q24" s="24"/>
    </row>
    <row r="25">
      <c r="A25" s="49"/>
      <c r="B25" s="220" t="s">
        <v>307</v>
      </c>
      <c r="C25" s="221" t="b">
        <v>0</v>
      </c>
      <c r="D25" s="220" t="s">
        <v>307</v>
      </c>
      <c r="E25" s="223" t="b">
        <v>0</v>
      </c>
      <c r="F25" s="220" t="s">
        <v>307</v>
      </c>
      <c r="G25" s="223" t="b">
        <v>0</v>
      </c>
      <c r="H25" s="220" t="s">
        <v>307</v>
      </c>
      <c r="I25" s="223" t="b">
        <v>0</v>
      </c>
      <c r="J25" s="220" t="s">
        <v>307</v>
      </c>
      <c r="K25" s="223" t="b">
        <v>0</v>
      </c>
      <c r="L25" s="220" t="s">
        <v>307</v>
      </c>
      <c r="M25" s="223" t="b">
        <v>0</v>
      </c>
      <c r="N25" s="220" t="s">
        <v>307</v>
      </c>
      <c r="O25" s="223" t="b">
        <v>0</v>
      </c>
      <c r="P25" s="224">
        <f t="shared" ref="P25:P26" si="2">COUNTIF(B25:O25,True)/COUNTA(B25:O25)%/50</f>
        <v>0</v>
      </c>
      <c r="Q25" s="225" t="s">
        <v>308</v>
      </c>
    </row>
    <row r="26">
      <c r="A26" s="49"/>
      <c r="B26" s="220" t="s">
        <v>309</v>
      </c>
      <c r="C26" s="221" t="b">
        <v>0</v>
      </c>
      <c r="D26" s="220" t="s">
        <v>309</v>
      </c>
      <c r="E26" s="221" t="b">
        <v>0</v>
      </c>
      <c r="F26" s="220" t="s">
        <v>309</v>
      </c>
      <c r="G26" s="223" t="b">
        <v>0</v>
      </c>
      <c r="H26" s="220" t="s">
        <v>309</v>
      </c>
      <c r="I26" s="223" t="b">
        <v>0</v>
      </c>
      <c r="J26" s="220" t="s">
        <v>309</v>
      </c>
      <c r="K26" s="223" t="b">
        <v>0</v>
      </c>
      <c r="L26" s="220" t="s">
        <v>309</v>
      </c>
      <c r="M26" s="223" t="b">
        <v>0</v>
      </c>
      <c r="N26" s="220" t="s">
        <v>309</v>
      </c>
      <c r="O26" s="223" t="b">
        <v>0</v>
      </c>
      <c r="P26" s="224">
        <f t="shared" si="2"/>
        <v>0</v>
      </c>
      <c r="Q26" s="3"/>
    </row>
    <row r="27">
      <c r="A27" s="49"/>
      <c r="B27" s="226" t="s">
        <v>310</v>
      </c>
      <c r="C27" s="227"/>
      <c r="D27" s="226" t="s">
        <v>310</v>
      </c>
      <c r="E27" s="227"/>
      <c r="F27" s="226" t="s">
        <v>310</v>
      </c>
      <c r="G27" s="227"/>
      <c r="H27" s="226" t="s">
        <v>310</v>
      </c>
      <c r="I27" s="227"/>
      <c r="J27" s="226" t="s">
        <v>310</v>
      </c>
      <c r="K27" s="227"/>
      <c r="L27" s="226" t="s">
        <v>310</v>
      </c>
      <c r="M27" s="227"/>
      <c r="N27" s="226" t="s">
        <v>310</v>
      </c>
      <c r="O27" s="227"/>
      <c r="P27" s="228">
        <f>COUNTIF(B27:O27,"Yes")</f>
        <v>0</v>
      </c>
      <c r="Q27" s="229" t="s">
        <v>311</v>
      </c>
    </row>
    <row r="28">
      <c r="A28" s="3"/>
      <c r="B28" s="230" t="s">
        <v>312</v>
      </c>
      <c r="C28" s="231"/>
      <c r="D28" s="230" t="s">
        <v>312</v>
      </c>
      <c r="E28" s="231"/>
      <c r="F28" s="230" t="s">
        <v>312</v>
      </c>
      <c r="G28" s="231"/>
      <c r="H28" s="230" t="s">
        <v>312</v>
      </c>
      <c r="I28" s="231"/>
      <c r="J28" s="230" t="s">
        <v>312</v>
      </c>
      <c r="K28" s="231"/>
      <c r="L28" s="230" t="s">
        <v>312</v>
      </c>
      <c r="M28" s="231"/>
      <c r="N28" s="230" t="s">
        <v>312</v>
      </c>
      <c r="O28" s="231"/>
      <c r="P28" s="232">
        <f>SUM(C28,E28,G28,I28,K28,M28,O28)/7</f>
        <v>0</v>
      </c>
      <c r="Q28" s="230" t="s">
        <v>313</v>
      </c>
    </row>
    <row r="29" ht="10.5" customHeight="1">
      <c r="A29" s="233"/>
      <c r="B29" s="55"/>
      <c r="C29" s="55"/>
      <c r="D29" s="55"/>
      <c r="E29" s="55"/>
      <c r="F29" s="55"/>
      <c r="G29" s="55"/>
      <c r="H29" s="55"/>
      <c r="I29" s="55"/>
      <c r="J29" s="55"/>
      <c r="K29" s="55"/>
      <c r="L29" s="55"/>
      <c r="M29" s="55"/>
      <c r="N29" s="55"/>
      <c r="O29" s="55"/>
      <c r="P29" s="55"/>
      <c r="Q29" s="54"/>
    </row>
    <row r="30">
      <c r="A30" s="204"/>
      <c r="B30" s="240">
        <v>46279.0</v>
      </c>
      <c r="C30" s="24"/>
      <c r="D30" s="240">
        <v>46280.0</v>
      </c>
      <c r="E30" s="24"/>
      <c r="F30" s="240">
        <v>46281.0</v>
      </c>
      <c r="G30" s="24"/>
      <c r="H30" s="240">
        <v>46282.0</v>
      </c>
      <c r="I30" s="24"/>
      <c r="J30" s="240">
        <v>46283.0</v>
      </c>
      <c r="K30" s="24"/>
      <c r="L30" s="240">
        <v>46284.0</v>
      </c>
      <c r="M30" s="24"/>
      <c r="N30" s="240">
        <v>46285.0</v>
      </c>
      <c r="O30" s="24"/>
      <c r="P30" s="206">
        <f>SUM(B31,D31,F31,H31,J31,L31,N31)</f>
        <v>0</v>
      </c>
      <c r="Q30" s="207"/>
    </row>
    <row r="31">
      <c r="A31" s="49"/>
      <c r="B31" s="210"/>
      <c r="C31" s="209" t="s">
        <v>295</v>
      </c>
      <c r="D31" s="210"/>
      <c r="E31" s="209" t="s">
        <v>295</v>
      </c>
      <c r="F31" s="210"/>
      <c r="G31" s="209" t="s">
        <v>295</v>
      </c>
      <c r="H31" s="210"/>
      <c r="I31" s="209" t="s">
        <v>295</v>
      </c>
      <c r="J31" s="210"/>
      <c r="K31" s="209" t="s">
        <v>295</v>
      </c>
      <c r="L31" s="210"/>
      <c r="M31" s="209" t="s">
        <v>295</v>
      </c>
      <c r="N31" s="210"/>
      <c r="O31" s="209" t="s">
        <v>295</v>
      </c>
      <c r="P31" s="49"/>
      <c r="Q31" s="49"/>
    </row>
    <row r="32">
      <c r="A32" s="49"/>
      <c r="B32" s="213"/>
      <c r="C32" s="212"/>
      <c r="D32" s="213"/>
      <c r="E32" s="212"/>
      <c r="F32" s="213"/>
      <c r="G32" s="212"/>
      <c r="H32" s="213"/>
      <c r="I32" s="212"/>
      <c r="J32" s="213"/>
      <c r="K32" s="212"/>
      <c r="L32" s="213"/>
      <c r="M32" s="212"/>
      <c r="N32" s="213"/>
      <c r="O32" s="212"/>
      <c r="P32" s="49"/>
      <c r="Q32" s="49"/>
    </row>
    <row r="33">
      <c r="A33" s="49"/>
      <c r="B33" s="209" t="s">
        <v>302</v>
      </c>
      <c r="C33" s="209" t="s">
        <v>303</v>
      </c>
      <c r="D33" s="209" t="s">
        <v>302</v>
      </c>
      <c r="E33" s="209" t="s">
        <v>303</v>
      </c>
      <c r="F33" s="209" t="s">
        <v>302</v>
      </c>
      <c r="G33" s="209" t="s">
        <v>303</v>
      </c>
      <c r="H33" s="209" t="s">
        <v>302</v>
      </c>
      <c r="I33" s="209" t="s">
        <v>303</v>
      </c>
      <c r="J33" s="209" t="s">
        <v>302</v>
      </c>
      <c r="K33" s="209" t="s">
        <v>303</v>
      </c>
      <c r="L33" s="209" t="s">
        <v>302</v>
      </c>
      <c r="M33" s="209" t="s">
        <v>303</v>
      </c>
      <c r="N33" s="209" t="s">
        <v>302</v>
      </c>
      <c r="O33" s="209" t="s">
        <v>303</v>
      </c>
      <c r="P33" s="49"/>
      <c r="Q33" s="49"/>
    </row>
    <row r="34">
      <c r="A34" s="49"/>
      <c r="B34" s="214"/>
      <c r="C34" s="214"/>
      <c r="D34" s="214"/>
      <c r="E34" s="214"/>
      <c r="F34" s="214"/>
      <c r="G34" s="214"/>
      <c r="H34" s="214"/>
      <c r="I34" s="214"/>
      <c r="J34" s="214"/>
      <c r="K34" s="214"/>
      <c r="L34" s="214"/>
      <c r="M34" s="215"/>
      <c r="N34" s="214"/>
      <c r="O34" s="214"/>
      <c r="P34" s="3"/>
      <c r="Q34" s="3"/>
    </row>
    <row r="35">
      <c r="A35" s="216"/>
      <c r="B35" s="217" t="s">
        <v>305</v>
      </c>
      <c r="C35" s="24"/>
      <c r="D35" s="217" t="s">
        <v>305</v>
      </c>
      <c r="E35" s="24"/>
      <c r="F35" s="217" t="s">
        <v>305</v>
      </c>
      <c r="G35" s="24"/>
      <c r="H35" s="217" t="s">
        <v>305</v>
      </c>
      <c r="I35" s="24"/>
      <c r="J35" s="217" t="s">
        <v>305</v>
      </c>
      <c r="K35" s="24"/>
      <c r="L35" s="217" t="s">
        <v>305</v>
      </c>
      <c r="M35" s="24"/>
      <c r="N35" s="217" t="s">
        <v>305</v>
      </c>
      <c r="O35" s="24"/>
      <c r="P35" s="218" t="s">
        <v>306</v>
      </c>
      <c r="Q35" s="24"/>
    </row>
    <row r="36">
      <c r="A36" s="49"/>
      <c r="B36" s="219"/>
      <c r="C36" s="24"/>
      <c r="D36" s="219"/>
      <c r="E36" s="24"/>
      <c r="F36" s="219"/>
      <c r="G36" s="24"/>
      <c r="H36" s="219"/>
      <c r="I36" s="24"/>
      <c r="J36" s="219"/>
      <c r="K36" s="24"/>
      <c r="L36" s="219"/>
      <c r="M36" s="24"/>
      <c r="N36" s="219"/>
      <c r="O36" s="24"/>
      <c r="P36" s="219"/>
      <c r="Q36" s="24"/>
    </row>
    <row r="37">
      <c r="A37" s="49"/>
      <c r="B37" s="220" t="s">
        <v>307</v>
      </c>
      <c r="C37" s="221" t="b">
        <v>0</v>
      </c>
      <c r="D37" s="220" t="s">
        <v>307</v>
      </c>
      <c r="E37" s="223" t="b">
        <v>0</v>
      </c>
      <c r="F37" s="220" t="s">
        <v>307</v>
      </c>
      <c r="G37" s="223" t="b">
        <v>0</v>
      </c>
      <c r="H37" s="220" t="s">
        <v>307</v>
      </c>
      <c r="I37" s="223" t="b">
        <v>0</v>
      </c>
      <c r="J37" s="220" t="s">
        <v>307</v>
      </c>
      <c r="K37" s="223" t="b">
        <v>0</v>
      </c>
      <c r="L37" s="220" t="s">
        <v>307</v>
      </c>
      <c r="M37" s="223" t="b">
        <v>0</v>
      </c>
      <c r="N37" s="220" t="s">
        <v>307</v>
      </c>
      <c r="O37" s="223" t="b">
        <v>0</v>
      </c>
      <c r="P37" s="224">
        <f t="shared" ref="P37:P38" si="3">COUNTIF(B37:O37,True)/COUNTA(B37:O37)%/50</f>
        <v>0</v>
      </c>
      <c r="Q37" s="225" t="s">
        <v>308</v>
      </c>
    </row>
    <row r="38">
      <c r="A38" s="49"/>
      <c r="B38" s="220" t="s">
        <v>309</v>
      </c>
      <c r="C38" s="221" t="b">
        <v>0</v>
      </c>
      <c r="D38" s="220" t="s">
        <v>309</v>
      </c>
      <c r="E38" s="221" t="b">
        <v>0</v>
      </c>
      <c r="F38" s="220" t="s">
        <v>309</v>
      </c>
      <c r="G38" s="223" t="b">
        <v>0</v>
      </c>
      <c r="H38" s="220" t="s">
        <v>309</v>
      </c>
      <c r="I38" s="223" t="b">
        <v>0</v>
      </c>
      <c r="J38" s="220" t="s">
        <v>309</v>
      </c>
      <c r="K38" s="223" t="b">
        <v>0</v>
      </c>
      <c r="L38" s="220" t="s">
        <v>309</v>
      </c>
      <c r="M38" s="223" t="b">
        <v>0</v>
      </c>
      <c r="N38" s="220" t="s">
        <v>309</v>
      </c>
      <c r="O38" s="223" t="b">
        <v>0</v>
      </c>
      <c r="P38" s="224">
        <f t="shared" si="3"/>
        <v>0</v>
      </c>
      <c r="Q38" s="3"/>
    </row>
    <row r="39">
      <c r="A39" s="49"/>
      <c r="B39" s="226" t="s">
        <v>310</v>
      </c>
      <c r="C39" s="227"/>
      <c r="D39" s="226" t="s">
        <v>310</v>
      </c>
      <c r="E39" s="227"/>
      <c r="F39" s="226" t="s">
        <v>310</v>
      </c>
      <c r="G39" s="227"/>
      <c r="H39" s="226" t="s">
        <v>310</v>
      </c>
      <c r="I39" s="227"/>
      <c r="J39" s="226" t="s">
        <v>310</v>
      </c>
      <c r="K39" s="227"/>
      <c r="L39" s="226" t="s">
        <v>310</v>
      </c>
      <c r="M39" s="227"/>
      <c r="N39" s="226" t="s">
        <v>310</v>
      </c>
      <c r="O39" s="227"/>
      <c r="P39" s="228">
        <f>COUNTIF(B39:O39,"Yes")</f>
        <v>0</v>
      </c>
      <c r="Q39" s="229" t="s">
        <v>311</v>
      </c>
    </row>
    <row r="40">
      <c r="A40" s="3"/>
      <c r="B40" s="230" t="s">
        <v>312</v>
      </c>
      <c r="C40" s="231"/>
      <c r="D40" s="230" t="s">
        <v>312</v>
      </c>
      <c r="E40" s="231"/>
      <c r="F40" s="230" t="s">
        <v>312</v>
      </c>
      <c r="G40" s="231"/>
      <c r="H40" s="230" t="s">
        <v>312</v>
      </c>
      <c r="I40" s="231"/>
      <c r="J40" s="230" t="s">
        <v>312</v>
      </c>
      <c r="K40" s="231"/>
      <c r="L40" s="230" t="s">
        <v>312</v>
      </c>
      <c r="M40" s="231"/>
      <c r="N40" s="230" t="s">
        <v>312</v>
      </c>
      <c r="O40" s="231"/>
      <c r="P40" s="232">
        <f>SUM(C40,E40,G40,I40,K40,M40,O40)/7</f>
        <v>0</v>
      </c>
      <c r="Q40" s="230" t="s">
        <v>313</v>
      </c>
    </row>
    <row r="41" ht="10.5" customHeight="1">
      <c r="A41" s="233"/>
      <c r="B41" s="55"/>
      <c r="C41" s="55"/>
      <c r="D41" s="55"/>
      <c r="E41" s="55"/>
      <c r="F41" s="55"/>
      <c r="G41" s="55"/>
      <c r="H41" s="55"/>
      <c r="I41" s="55"/>
      <c r="J41" s="55"/>
      <c r="K41" s="55"/>
      <c r="L41" s="55"/>
      <c r="M41" s="55"/>
      <c r="N41" s="55"/>
      <c r="O41" s="55"/>
      <c r="P41" s="55"/>
      <c r="Q41" s="54"/>
    </row>
    <row r="42">
      <c r="A42" s="204"/>
      <c r="B42" s="240">
        <v>46286.0</v>
      </c>
      <c r="C42" s="24"/>
      <c r="D42" s="240">
        <v>46287.0</v>
      </c>
      <c r="E42" s="24"/>
      <c r="F42" s="240">
        <v>46288.0</v>
      </c>
      <c r="G42" s="24"/>
      <c r="H42" s="240">
        <v>46289.0</v>
      </c>
      <c r="I42" s="24"/>
      <c r="J42" s="240">
        <v>46290.0</v>
      </c>
      <c r="K42" s="24"/>
      <c r="L42" s="240">
        <v>46291.0</v>
      </c>
      <c r="M42" s="24"/>
      <c r="N42" s="240">
        <v>46292.0</v>
      </c>
      <c r="O42" s="24"/>
      <c r="P42" s="206">
        <f>SUM(B43,D43,F43,H43,J43,L43,N43)</f>
        <v>0</v>
      </c>
      <c r="Q42" s="207"/>
    </row>
    <row r="43">
      <c r="A43" s="49"/>
      <c r="B43" s="210"/>
      <c r="C43" s="209" t="s">
        <v>295</v>
      </c>
      <c r="D43" s="210"/>
      <c r="E43" s="209" t="s">
        <v>295</v>
      </c>
      <c r="F43" s="210"/>
      <c r="G43" s="209" t="s">
        <v>295</v>
      </c>
      <c r="H43" s="210"/>
      <c r="I43" s="209" t="s">
        <v>295</v>
      </c>
      <c r="J43" s="210"/>
      <c r="K43" s="209" t="s">
        <v>295</v>
      </c>
      <c r="L43" s="210"/>
      <c r="M43" s="209" t="s">
        <v>295</v>
      </c>
      <c r="N43" s="210"/>
      <c r="O43" s="209" t="s">
        <v>295</v>
      </c>
      <c r="P43" s="49"/>
      <c r="Q43" s="49"/>
    </row>
    <row r="44">
      <c r="A44" s="49"/>
      <c r="B44" s="213"/>
      <c r="C44" s="212"/>
      <c r="D44" s="213"/>
      <c r="E44" s="212"/>
      <c r="F44" s="213"/>
      <c r="G44" s="212"/>
      <c r="H44" s="213"/>
      <c r="I44" s="212"/>
      <c r="J44" s="213"/>
      <c r="K44" s="212"/>
      <c r="L44" s="213"/>
      <c r="M44" s="212"/>
      <c r="N44" s="213"/>
      <c r="O44" s="212"/>
      <c r="P44" s="49"/>
      <c r="Q44" s="49"/>
    </row>
    <row r="45">
      <c r="A45" s="49"/>
      <c r="B45" s="209" t="s">
        <v>302</v>
      </c>
      <c r="C45" s="209" t="s">
        <v>303</v>
      </c>
      <c r="D45" s="209" t="s">
        <v>302</v>
      </c>
      <c r="E45" s="209" t="s">
        <v>303</v>
      </c>
      <c r="F45" s="209" t="s">
        <v>302</v>
      </c>
      <c r="G45" s="209" t="s">
        <v>303</v>
      </c>
      <c r="H45" s="209" t="s">
        <v>302</v>
      </c>
      <c r="I45" s="209" t="s">
        <v>303</v>
      </c>
      <c r="J45" s="209" t="s">
        <v>302</v>
      </c>
      <c r="K45" s="209" t="s">
        <v>303</v>
      </c>
      <c r="L45" s="209" t="s">
        <v>302</v>
      </c>
      <c r="M45" s="209" t="s">
        <v>303</v>
      </c>
      <c r="N45" s="209" t="s">
        <v>302</v>
      </c>
      <c r="O45" s="209" t="s">
        <v>303</v>
      </c>
      <c r="P45" s="49"/>
      <c r="Q45" s="49"/>
    </row>
    <row r="46">
      <c r="A46" s="49"/>
      <c r="B46" s="214"/>
      <c r="C46" s="214"/>
      <c r="D46" s="214"/>
      <c r="E46" s="214"/>
      <c r="F46" s="214"/>
      <c r="G46" s="214"/>
      <c r="H46" s="214"/>
      <c r="I46" s="214"/>
      <c r="J46" s="214"/>
      <c r="K46" s="214"/>
      <c r="L46" s="214"/>
      <c r="M46" s="215"/>
      <c r="N46" s="214"/>
      <c r="O46" s="214"/>
      <c r="P46" s="3"/>
      <c r="Q46" s="3"/>
    </row>
    <row r="47">
      <c r="A47" s="216"/>
      <c r="B47" s="217" t="s">
        <v>305</v>
      </c>
      <c r="C47" s="24"/>
      <c r="D47" s="217" t="s">
        <v>305</v>
      </c>
      <c r="E47" s="24"/>
      <c r="F47" s="217" t="s">
        <v>305</v>
      </c>
      <c r="G47" s="24"/>
      <c r="H47" s="217" t="s">
        <v>305</v>
      </c>
      <c r="I47" s="24"/>
      <c r="J47" s="217" t="s">
        <v>305</v>
      </c>
      <c r="K47" s="24"/>
      <c r="L47" s="217" t="s">
        <v>305</v>
      </c>
      <c r="M47" s="24"/>
      <c r="N47" s="217" t="s">
        <v>305</v>
      </c>
      <c r="O47" s="24"/>
      <c r="P47" s="218" t="s">
        <v>306</v>
      </c>
      <c r="Q47" s="24"/>
    </row>
    <row r="48">
      <c r="A48" s="49"/>
      <c r="B48" s="219"/>
      <c r="C48" s="24"/>
      <c r="D48" s="219"/>
      <c r="E48" s="24"/>
      <c r="F48" s="219"/>
      <c r="G48" s="24"/>
      <c r="H48" s="219"/>
      <c r="I48" s="24"/>
      <c r="J48" s="219"/>
      <c r="K48" s="24"/>
      <c r="L48" s="219"/>
      <c r="M48" s="24"/>
      <c r="N48" s="219"/>
      <c r="O48" s="24"/>
      <c r="P48" s="219"/>
      <c r="Q48" s="24"/>
    </row>
    <row r="49">
      <c r="A49" s="49"/>
      <c r="B49" s="220" t="s">
        <v>307</v>
      </c>
      <c r="C49" s="221" t="b">
        <v>0</v>
      </c>
      <c r="D49" s="220" t="s">
        <v>307</v>
      </c>
      <c r="E49" s="223" t="b">
        <v>0</v>
      </c>
      <c r="F49" s="220" t="s">
        <v>307</v>
      </c>
      <c r="G49" s="223" t="b">
        <v>0</v>
      </c>
      <c r="H49" s="220" t="s">
        <v>307</v>
      </c>
      <c r="I49" s="223" t="b">
        <v>0</v>
      </c>
      <c r="J49" s="220" t="s">
        <v>307</v>
      </c>
      <c r="K49" s="223" t="b">
        <v>0</v>
      </c>
      <c r="L49" s="220" t="s">
        <v>307</v>
      </c>
      <c r="M49" s="223" t="b">
        <v>0</v>
      </c>
      <c r="N49" s="220" t="s">
        <v>307</v>
      </c>
      <c r="O49" s="223" t="b">
        <v>0</v>
      </c>
      <c r="P49" s="224">
        <f t="shared" ref="P49:P50" si="4">COUNTIF(B49:O49,True)/COUNTA(B49:O49)%/50</f>
        <v>0</v>
      </c>
      <c r="Q49" s="225" t="s">
        <v>308</v>
      </c>
    </row>
    <row r="50">
      <c r="A50" s="49"/>
      <c r="B50" s="220" t="s">
        <v>309</v>
      </c>
      <c r="C50" s="221" t="b">
        <v>0</v>
      </c>
      <c r="D50" s="220" t="s">
        <v>309</v>
      </c>
      <c r="E50" s="221" t="b">
        <v>0</v>
      </c>
      <c r="F50" s="220" t="s">
        <v>309</v>
      </c>
      <c r="G50" s="223" t="b">
        <v>0</v>
      </c>
      <c r="H50" s="220" t="s">
        <v>309</v>
      </c>
      <c r="I50" s="223" t="b">
        <v>0</v>
      </c>
      <c r="J50" s="220" t="s">
        <v>309</v>
      </c>
      <c r="K50" s="223" t="b">
        <v>0</v>
      </c>
      <c r="L50" s="220" t="s">
        <v>309</v>
      </c>
      <c r="M50" s="223" t="b">
        <v>0</v>
      </c>
      <c r="N50" s="220" t="s">
        <v>309</v>
      </c>
      <c r="O50" s="223" t="b">
        <v>0</v>
      </c>
      <c r="P50" s="224">
        <f t="shared" si="4"/>
        <v>0</v>
      </c>
      <c r="Q50" s="3"/>
    </row>
    <row r="51">
      <c r="A51" s="49"/>
      <c r="B51" s="226" t="s">
        <v>310</v>
      </c>
      <c r="C51" s="227"/>
      <c r="D51" s="226" t="s">
        <v>310</v>
      </c>
      <c r="E51" s="227"/>
      <c r="F51" s="226" t="s">
        <v>310</v>
      </c>
      <c r="G51" s="227"/>
      <c r="H51" s="226" t="s">
        <v>310</v>
      </c>
      <c r="I51" s="227"/>
      <c r="J51" s="226" t="s">
        <v>310</v>
      </c>
      <c r="K51" s="227"/>
      <c r="L51" s="226" t="s">
        <v>310</v>
      </c>
      <c r="M51" s="227"/>
      <c r="N51" s="226" t="s">
        <v>310</v>
      </c>
      <c r="O51" s="227"/>
      <c r="P51" s="228">
        <f>COUNTIF(B51:O51,"Yes")</f>
        <v>0</v>
      </c>
      <c r="Q51" s="229" t="s">
        <v>311</v>
      </c>
    </row>
    <row r="52">
      <c r="A52" s="3"/>
      <c r="B52" s="230" t="s">
        <v>312</v>
      </c>
      <c r="C52" s="231"/>
      <c r="D52" s="230" t="s">
        <v>312</v>
      </c>
      <c r="E52" s="231"/>
      <c r="F52" s="230" t="s">
        <v>312</v>
      </c>
      <c r="G52" s="231"/>
      <c r="H52" s="230" t="s">
        <v>312</v>
      </c>
      <c r="I52" s="231"/>
      <c r="J52" s="230" t="s">
        <v>312</v>
      </c>
      <c r="K52" s="231"/>
      <c r="L52" s="230" t="s">
        <v>312</v>
      </c>
      <c r="M52" s="231"/>
      <c r="N52" s="230" t="s">
        <v>312</v>
      </c>
      <c r="O52" s="231"/>
      <c r="P52" s="232">
        <f>SUM(C52,E52,G52,I52,K52,M52,O52)/7</f>
        <v>0</v>
      </c>
      <c r="Q52" s="230" t="s">
        <v>313</v>
      </c>
    </row>
    <row r="53" ht="10.5" customHeight="1">
      <c r="A53" s="233"/>
      <c r="B53" s="55"/>
      <c r="C53" s="55"/>
      <c r="D53" s="55"/>
      <c r="E53" s="55"/>
      <c r="F53" s="55"/>
      <c r="G53" s="55"/>
      <c r="H53" s="55"/>
      <c r="I53" s="55"/>
      <c r="J53" s="55"/>
      <c r="K53" s="55"/>
      <c r="L53" s="55"/>
      <c r="M53" s="55"/>
      <c r="N53" s="55"/>
      <c r="O53" s="55"/>
      <c r="P53" s="55"/>
      <c r="Q53" s="54"/>
    </row>
    <row r="54">
      <c r="A54" s="204"/>
      <c r="B54" s="240">
        <v>46293.0</v>
      </c>
      <c r="C54" s="24"/>
      <c r="D54" s="240">
        <v>46294.0</v>
      </c>
      <c r="E54" s="24"/>
      <c r="F54" s="240">
        <v>46295.0</v>
      </c>
      <c r="G54" s="24"/>
      <c r="H54" s="240">
        <v>46296.0</v>
      </c>
      <c r="I54" s="24"/>
      <c r="J54" s="240">
        <v>46297.0</v>
      </c>
      <c r="K54" s="24"/>
      <c r="L54" s="240">
        <v>46298.0</v>
      </c>
      <c r="M54" s="24"/>
      <c r="N54" s="240">
        <v>46299.0</v>
      </c>
      <c r="O54" s="24"/>
      <c r="P54" s="206">
        <f>SUM(B55,D55,F55,H55,J55,L55,N55)</f>
        <v>0</v>
      </c>
      <c r="Q54" s="207"/>
    </row>
    <row r="55">
      <c r="A55" s="49"/>
      <c r="B55" s="210"/>
      <c r="C55" s="209" t="s">
        <v>295</v>
      </c>
      <c r="D55" s="210"/>
      <c r="E55" s="209" t="s">
        <v>295</v>
      </c>
      <c r="F55" s="210"/>
      <c r="G55" s="209" t="s">
        <v>295</v>
      </c>
      <c r="H55" s="210"/>
      <c r="I55" s="209" t="s">
        <v>295</v>
      </c>
      <c r="J55" s="210"/>
      <c r="K55" s="209" t="s">
        <v>295</v>
      </c>
      <c r="L55" s="210"/>
      <c r="M55" s="209" t="s">
        <v>295</v>
      </c>
      <c r="N55" s="210"/>
      <c r="O55" s="209" t="s">
        <v>295</v>
      </c>
      <c r="P55" s="49"/>
      <c r="Q55" s="49"/>
    </row>
    <row r="56">
      <c r="A56" s="49"/>
      <c r="B56" s="213"/>
      <c r="C56" s="212"/>
      <c r="D56" s="213"/>
      <c r="E56" s="212"/>
      <c r="F56" s="213"/>
      <c r="G56" s="212"/>
      <c r="H56" s="213"/>
      <c r="I56" s="212"/>
      <c r="J56" s="213"/>
      <c r="K56" s="212"/>
      <c r="L56" s="213"/>
      <c r="M56" s="212"/>
      <c r="N56" s="213"/>
      <c r="O56" s="212"/>
      <c r="P56" s="49"/>
      <c r="Q56" s="49"/>
    </row>
    <row r="57">
      <c r="A57" s="49"/>
      <c r="B57" s="209" t="s">
        <v>302</v>
      </c>
      <c r="C57" s="209" t="s">
        <v>303</v>
      </c>
      <c r="D57" s="209" t="s">
        <v>302</v>
      </c>
      <c r="E57" s="209" t="s">
        <v>303</v>
      </c>
      <c r="F57" s="209" t="s">
        <v>302</v>
      </c>
      <c r="G57" s="209" t="s">
        <v>303</v>
      </c>
      <c r="H57" s="209" t="s">
        <v>302</v>
      </c>
      <c r="I57" s="209" t="s">
        <v>303</v>
      </c>
      <c r="J57" s="209" t="s">
        <v>302</v>
      </c>
      <c r="K57" s="209" t="s">
        <v>303</v>
      </c>
      <c r="L57" s="209" t="s">
        <v>302</v>
      </c>
      <c r="M57" s="209" t="s">
        <v>303</v>
      </c>
      <c r="N57" s="209" t="s">
        <v>302</v>
      </c>
      <c r="O57" s="209" t="s">
        <v>303</v>
      </c>
      <c r="P57" s="49"/>
      <c r="Q57" s="49"/>
    </row>
    <row r="58">
      <c r="A58" s="49"/>
      <c r="B58" s="214"/>
      <c r="C58" s="214"/>
      <c r="D58" s="214"/>
      <c r="E58" s="214"/>
      <c r="F58" s="214"/>
      <c r="G58" s="214"/>
      <c r="H58" s="214"/>
      <c r="I58" s="214"/>
      <c r="J58" s="214"/>
      <c r="K58" s="214"/>
      <c r="L58" s="214"/>
      <c r="M58" s="215"/>
      <c r="N58" s="214"/>
      <c r="O58" s="214"/>
      <c r="P58" s="3"/>
      <c r="Q58" s="3"/>
    </row>
    <row r="59">
      <c r="A59" s="216"/>
      <c r="B59" s="217" t="s">
        <v>305</v>
      </c>
      <c r="C59" s="24"/>
      <c r="D59" s="217" t="s">
        <v>305</v>
      </c>
      <c r="E59" s="24"/>
      <c r="F59" s="217" t="s">
        <v>305</v>
      </c>
      <c r="G59" s="24"/>
      <c r="H59" s="217" t="s">
        <v>305</v>
      </c>
      <c r="I59" s="24"/>
      <c r="J59" s="217" t="s">
        <v>305</v>
      </c>
      <c r="K59" s="24"/>
      <c r="L59" s="217" t="s">
        <v>305</v>
      </c>
      <c r="M59" s="24"/>
      <c r="N59" s="217" t="s">
        <v>305</v>
      </c>
      <c r="O59" s="24"/>
      <c r="P59" s="218" t="s">
        <v>306</v>
      </c>
      <c r="Q59" s="24"/>
    </row>
    <row r="60">
      <c r="A60" s="49"/>
      <c r="B60" s="219"/>
      <c r="C60" s="24"/>
      <c r="D60" s="219"/>
      <c r="E60" s="24"/>
      <c r="F60" s="219"/>
      <c r="G60" s="24"/>
      <c r="H60" s="219"/>
      <c r="I60" s="24"/>
      <c r="J60" s="219"/>
      <c r="K60" s="24"/>
      <c r="L60" s="219"/>
      <c r="M60" s="24"/>
      <c r="N60" s="219"/>
      <c r="O60" s="24"/>
      <c r="P60" s="219"/>
      <c r="Q60" s="24"/>
    </row>
    <row r="61">
      <c r="A61" s="49"/>
      <c r="B61" s="220" t="s">
        <v>307</v>
      </c>
      <c r="C61" s="221" t="b">
        <v>0</v>
      </c>
      <c r="D61" s="220" t="s">
        <v>307</v>
      </c>
      <c r="E61" s="223" t="b">
        <v>0</v>
      </c>
      <c r="F61" s="220" t="s">
        <v>307</v>
      </c>
      <c r="G61" s="223" t="b">
        <v>0</v>
      </c>
      <c r="H61" s="220" t="s">
        <v>307</v>
      </c>
      <c r="I61" s="223" t="b">
        <v>0</v>
      </c>
      <c r="J61" s="220" t="s">
        <v>307</v>
      </c>
      <c r="K61" s="223" t="b">
        <v>0</v>
      </c>
      <c r="L61" s="220" t="s">
        <v>307</v>
      </c>
      <c r="M61" s="223" t="b">
        <v>0</v>
      </c>
      <c r="N61" s="220" t="s">
        <v>307</v>
      </c>
      <c r="O61" s="223" t="b">
        <v>0</v>
      </c>
      <c r="P61" s="224">
        <f t="shared" ref="P61:P62" si="5">COUNTIF(B61:O61,True)/COUNTA(B61:O61)%/50</f>
        <v>0</v>
      </c>
      <c r="Q61" s="225" t="s">
        <v>308</v>
      </c>
    </row>
    <row r="62">
      <c r="A62" s="49"/>
      <c r="B62" s="220" t="s">
        <v>309</v>
      </c>
      <c r="C62" s="221" t="b">
        <v>0</v>
      </c>
      <c r="D62" s="220" t="s">
        <v>309</v>
      </c>
      <c r="E62" s="221" t="b">
        <v>0</v>
      </c>
      <c r="F62" s="220" t="s">
        <v>309</v>
      </c>
      <c r="G62" s="223" t="b">
        <v>0</v>
      </c>
      <c r="H62" s="220" t="s">
        <v>309</v>
      </c>
      <c r="I62" s="223" t="b">
        <v>0</v>
      </c>
      <c r="J62" s="220" t="s">
        <v>309</v>
      </c>
      <c r="K62" s="223" t="b">
        <v>0</v>
      </c>
      <c r="L62" s="220" t="s">
        <v>309</v>
      </c>
      <c r="M62" s="223" t="b">
        <v>0</v>
      </c>
      <c r="N62" s="220" t="s">
        <v>309</v>
      </c>
      <c r="O62" s="223" t="b">
        <v>0</v>
      </c>
      <c r="P62" s="224">
        <f t="shared" si="5"/>
        <v>0</v>
      </c>
      <c r="Q62" s="3"/>
    </row>
    <row r="63">
      <c r="A63" s="49"/>
      <c r="B63" s="226" t="s">
        <v>310</v>
      </c>
      <c r="C63" s="227"/>
      <c r="D63" s="226" t="s">
        <v>310</v>
      </c>
      <c r="E63" s="227"/>
      <c r="F63" s="226" t="s">
        <v>310</v>
      </c>
      <c r="G63" s="227"/>
      <c r="H63" s="226" t="s">
        <v>310</v>
      </c>
      <c r="I63" s="227"/>
      <c r="J63" s="226" t="s">
        <v>310</v>
      </c>
      <c r="K63" s="227"/>
      <c r="L63" s="226" t="s">
        <v>310</v>
      </c>
      <c r="M63" s="227"/>
      <c r="N63" s="226" t="s">
        <v>310</v>
      </c>
      <c r="O63" s="227"/>
      <c r="P63" s="228">
        <f>COUNTIF(B63:O63,"Yes")</f>
        <v>0</v>
      </c>
      <c r="Q63" s="229" t="s">
        <v>311</v>
      </c>
    </row>
    <row r="64">
      <c r="A64" s="3"/>
      <c r="B64" s="230" t="s">
        <v>312</v>
      </c>
      <c r="C64" s="231"/>
      <c r="D64" s="230" t="s">
        <v>312</v>
      </c>
      <c r="E64" s="231"/>
      <c r="F64" s="230" t="s">
        <v>312</v>
      </c>
      <c r="G64" s="231"/>
      <c r="H64" s="230" t="s">
        <v>312</v>
      </c>
      <c r="I64" s="231"/>
      <c r="J64" s="230" t="s">
        <v>312</v>
      </c>
      <c r="K64" s="231"/>
      <c r="L64" s="230" t="s">
        <v>312</v>
      </c>
      <c r="M64" s="231"/>
      <c r="N64" s="230" t="s">
        <v>312</v>
      </c>
      <c r="O64" s="231"/>
      <c r="P64" s="232">
        <f>SUM(C64,E64,G64,I64,K64,M64,O64)/7</f>
        <v>0</v>
      </c>
      <c r="Q64" s="230" t="s">
        <v>313</v>
      </c>
    </row>
  </sheetData>
  <mergeCells count="168">
    <mergeCell ref="B18:C18"/>
    <mergeCell ref="B23:C23"/>
    <mergeCell ref="A23:A28"/>
    <mergeCell ref="B24:C24"/>
    <mergeCell ref="A30:A34"/>
    <mergeCell ref="B30:C30"/>
    <mergeCell ref="A35:A40"/>
    <mergeCell ref="B35:C35"/>
    <mergeCell ref="D35:E35"/>
    <mergeCell ref="A54:A58"/>
    <mergeCell ref="A59:A64"/>
    <mergeCell ref="B59:C59"/>
    <mergeCell ref="D59:E59"/>
    <mergeCell ref="B60:C60"/>
    <mergeCell ref="D60:E60"/>
    <mergeCell ref="A47:A52"/>
    <mergeCell ref="B47:C47"/>
    <mergeCell ref="D47:E47"/>
    <mergeCell ref="B48:C48"/>
    <mergeCell ref="D48:E48"/>
    <mergeCell ref="B54:C54"/>
    <mergeCell ref="D54:E54"/>
    <mergeCell ref="L59:M59"/>
    <mergeCell ref="N59:O59"/>
    <mergeCell ref="Q61:Q62"/>
    <mergeCell ref="F59:G59"/>
    <mergeCell ref="F60:G60"/>
    <mergeCell ref="H60:I60"/>
    <mergeCell ref="J60:K60"/>
    <mergeCell ref="L60:M60"/>
    <mergeCell ref="N60:O60"/>
    <mergeCell ref="P60:Q60"/>
    <mergeCell ref="J54:K54"/>
    <mergeCell ref="L54:M54"/>
    <mergeCell ref="P54:P58"/>
    <mergeCell ref="Q54:Q58"/>
    <mergeCell ref="H59:I59"/>
    <mergeCell ref="J59:K59"/>
    <mergeCell ref="P59:Q59"/>
    <mergeCell ref="N18:O18"/>
    <mergeCell ref="P18:P22"/>
    <mergeCell ref="Q18:Q22"/>
    <mergeCell ref="H23:I23"/>
    <mergeCell ref="J23:K23"/>
    <mergeCell ref="N23:O23"/>
    <mergeCell ref="P23:Q23"/>
    <mergeCell ref="A18:A22"/>
    <mergeCell ref="D18:E18"/>
    <mergeCell ref="F18:G18"/>
    <mergeCell ref="H18:I18"/>
    <mergeCell ref="J18:K18"/>
    <mergeCell ref="L18:M18"/>
    <mergeCell ref="L23:M23"/>
    <mergeCell ref="D23:E23"/>
    <mergeCell ref="F23:G23"/>
    <mergeCell ref="D24:E24"/>
    <mergeCell ref="F24:G24"/>
    <mergeCell ref="H24:I24"/>
    <mergeCell ref="J24:K24"/>
    <mergeCell ref="L24:M24"/>
    <mergeCell ref="N30:O30"/>
    <mergeCell ref="A41:Q41"/>
    <mergeCell ref="N24:O24"/>
    <mergeCell ref="P24:Q24"/>
    <mergeCell ref="Q25:Q26"/>
    <mergeCell ref="A29:Q29"/>
    <mergeCell ref="D30:E30"/>
    <mergeCell ref="F30:G30"/>
    <mergeCell ref="H30:I30"/>
    <mergeCell ref="H48:I48"/>
    <mergeCell ref="J48:K48"/>
    <mergeCell ref="P48:Q48"/>
    <mergeCell ref="Q49:Q50"/>
    <mergeCell ref="A53:Q53"/>
    <mergeCell ref="F54:G54"/>
    <mergeCell ref="H54:I54"/>
    <mergeCell ref="N54:O54"/>
    <mergeCell ref="F4:G4"/>
    <mergeCell ref="H4:I4"/>
    <mergeCell ref="D5:E5"/>
    <mergeCell ref="F5:G5"/>
    <mergeCell ref="D6:E6"/>
    <mergeCell ref="F6:G6"/>
    <mergeCell ref="D11:E11"/>
    <mergeCell ref="F11:G11"/>
    <mergeCell ref="H11:I11"/>
    <mergeCell ref="N12:O12"/>
    <mergeCell ref="P12:Q12"/>
    <mergeCell ref="J11:K11"/>
    <mergeCell ref="L11:M11"/>
    <mergeCell ref="N11:O11"/>
    <mergeCell ref="P11:Q11"/>
    <mergeCell ref="D12:E12"/>
    <mergeCell ref="F12:G12"/>
    <mergeCell ref="H12:I12"/>
    <mergeCell ref="D2:E3"/>
    <mergeCell ref="B4:C4"/>
    <mergeCell ref="D4:E4"/>
    <mergeCell ref="J4:K4"/>
    <mergeCell ref="L4:M4"/>
    <mergeCell ref="N4:O4"/>
    <mergeCell ref="P4:P5"/>
    <mergeCell ref="N5:O5"/>
    <mergeCell ref="N6:O6"/>
    <mergeCell ref="P6:P10"/>
    <mergeCell ref="Q6:Q10"/>
    <mergeCell ref="Q13:Q14"/>
    <mergeCell ref="H5:I5"/>
    <mergeCell ref="J5:K5"/>
    <mergeCell ref="H6:I6"/>
    <mergeCell ref="J6:K6"/>
    <mergeCell ref="L6:M6"/>
    <mergeCell ref="B1:G1"/>
    <mergeCell ref="H1:I3"/>
    <mergeCell ref="J1:O3"/>
    <mergeCell ref="P1:Q3"/>
    <mergeCell ref="F2:G2"/>
    <mergeCell ref="F3:G3"/>
    <mergeCell ref="Q4:Q5"/>
    <mergeCell ref="L5:M5"/>
    <mergeCell ref="J12:K12"/>
    <mergeCell ref="L12:M12"/>
    <mergeCell ref="A17:Q17"/>
    <mergeCell ref="A1:A5"/>
    <mergeCell ref="B5:C5"/>
    <mergeCell ref="A6:A10"/>
    <mergeCell ref="B6:C6"/>
    <mergeCell ref="A11:A16"/>
    <mergeCell ref="B11:C11"/>
    <mergeCell ref="B12:C12"/>
    <mergeCell ref="L35:M35"/>
    <mergeCell ref="N35:O35"/>
    <mergeCell ref="J30:K30"/>
    <mergeCell ref="L30:M30"/>
    <mergeCell ref="P30:P34"/>
    <mergeCell ref="Q30:Q34"/>
    <mergeCell ref="F35:G35"/>
    <mergeCell ref="H35:I35"/>
    <mergeCell ref="J35:K35"/>
    <mergeCell ref="P35:Q35"/>
    <mergeCell ref="P36:Q36"/>
    <mergeCell ref="Q37:Q38"/>
    <mergeCell ref="B36:C36"/>
    <mergeCell ref="D36:E36"/>
    <mergeCell ref="F36:G36"/>
    <mergeCell ref="H36:I36"/>
    <mergeCell ref="J36:K36"/>
    <mergeCell ref="L36:M36"/>
    <mergeCell ref="N36:O36"/>
    <mergeCell ref="N42:O42"/>
    <mergeCell ref="P42:P46"/>
    <mergeCell ref="Q42:Q46"/>
    <mergeCell ref="A42:A46"/>
    <mergeCell ref="B42:C42"/>
    <mergeCell ref="D42:E42"/>
    <mergeCell ref="F42:G42"/>
    <mergeCell ref="H42:I42"/>
    <mergeCell ref="J42:K42"/>
    <mergeCell ref="L42:M42"/>
    <mergeCell ref="L48:M48"/>
    <mergeCell ref="N48:O48"/>
    <mergeCell ref="F47:G47"/>
    <mergeCell ref="H47:I47"/>
    <mergeCell ref="J47:K47"/>
    <mergeCell ref="L47:M47"/>
    <mergeCell ref="N47:O47"/>
    <mergeCell ref="P47:Q47"/>
    <mergeCell ref="F48:G48"/>
  </mergeCells>
  <dataValidations>
    <dataValidation type="list" allowBlank="1" showErrorMessage="1" sqref="A11 A23 A35 A47 A59">
      <formula1>"Don't Push/ Strict Paces,Focus on Recovery Don't Push,Focus HEAVILY on Rolling/ Stretching/ Recovery,Fuel Every Quality Session/ TRACK and see what works/ doesn't,Prep/Fuel Like Race Week,If you feel good; close last 10-20% of hard/ long workouts faster,S"&amp;"tay on Top of the Little Things / Be Ready to Push,Focus More on Strength,Last EASY (50%) Strength: Sat or Sun,Schedule Race Prep Call,Communicate Daily w/ Coach"</formula1>
    </dataValidation>
    <dataValidation type="list" allowBlank="1" showErrorMessage="1" sqref="C16 E16 G16 I16 K16 M16 O16 C28 E28 G28 I28 K28 M28 O28 C40 E40 G40 I40 K40 M40 O40 C52 E52 G52 I52 K52 M52 O52 C64 E64 G64 I64 K64 M64 O64">
      <formula1>"1,2,3,4,5,6,7,8,9,10"</formula1>
    </dataValidation>
    <dataValidation type="list" allowBlank="1" showErrorMessage="1" sqref="A6 A18 A30 A42 A54">
      <formula1>"REST WEEK,BUILD WEEK,PUSH WEEK,PEAK WEEK,RACE WEEK,INJURED,ILLNESS,RETURN WEEK,CROSS TRAINING,TRAVEL/ LIMITED WEEK"</formula1>
    </dataValidation>
    <dataValidation type="list" allowBlank="1" showErrorMessage="1" sqref="C15 E15 G15 I15 K15 M15 O15 C27 E27 G27 I27 K27 M27 O27 C39 E39 G39 I39 K39 M39 O39 C51 E51 G51 I51 K51 M51 O51 C63 E63 G63 I63 K63 M63 O63">
      <formula1>"Yes,No"</formula1>
    </dataValidation>
  </dataValidations>
  <hyperlinks>
    <hyperlink r:id="rId1" ref="D2"/>
    <hyperlink r:id="rId2" ref="F2"/>
    <hyperlink r:id="rId3" ref="F3"/>
  </hyperlinks>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5"/>
    <col customWidth="1" min="2" max="2" width="18.63"/>
    <col customWidth="1" min="4" max="4" width="18.13"/>
    <col customWidth="1" min="6" max="6" width="18.38"/>
    <col customWidth="1" min="8" max="8" width="18.75"/>
    <col customWidth="1" min="10" max="10" width="19.13"/>
    <col customWidth="1" min="12" max="12" width="18.38"/>
    <col customWidth="1" min="14" max="14" width="18.25"/>
    <col customWidth="1" min="17" max="17" width="14.88"/>
  </cols>
  <sheetData>
    <row r="1">
      <c r="A1" s="238" t="str">
        <f>September!A1</f>
        <v>STRAVA</v>
      </c>
      <c r="B1" s="243" t="s">
        <v>383</v>
      </c>
      <c r="C1" s="23"/>
      <c r="D1" s="23"/>
      <c r="E1" s="23"/>
      <c r="F1" s="23"/>
      <c r="G1" s="23"/>
      <c r="H1" s="191" t="s">
        <v>272</v>
      </c>
      <c r="I1" s="48"/>
      <c r="J1" s="192"/>
      <c r="K1" s="48"/>
      <c r="L1" s="48"/>
      <c r="M1" s="48"/>
      <c r="N1" s="48"/>
      <c r="O1" s="48"/>
      <c r="P1" s="193"/>
      <c r="Q1" s="42"/>
    </row>
    <row r="2">
      <c r="A2" s="49"/>
      <c r="B2" s="194" t="s">
        <v>274</v>
      </c>
      <c r="C2" s="237" t="str">
        <f>September!C2</f>
        <v>1.5 mile</v>
      </c>
      <c r="D2" s="196" t="s">
        <v>276</v>
      </c>
      <c r="E2" s="48"/>
      <c r="F2" s="197" t="s">
        <v>277</v>
      </c>
      <c r="G2" s="24"/>
      <c r="H2" s="50"/>
      <c r="P2" s="50"/>
      <c r="Q2" s="51"/>
    </row>
    <row r="3">
      <c r="A3" s="49"/>
      <c r="B3" s="198" t="s">
        <v>278</v>
      </c>
      <c r="C3" s="237" t="str">
        <f>September!C3</f>
        <v>1.5 mile</v>
      </c>
      <c r="D3" s="50"/>
      <c r="F3" s="199" t="s">
        <v>279</v>
      </c>
      <c r="G3" s="24"/>
      <c r="H3" s="50"/>
      <c r="P3" s="53"/>
      <c r="Q3" s="54"/>
    </row>
    <row r="4">
      <c r="A4" s="49"/>
      <c r="B4" s="200" t="s">
        <v>280</v>
      </c>
      <c r="C4" s="24"/>
      <c r="D4" s="201" t="s">
        <v>281</v>
      </c>
      <c r="E4" s="24"/>
      <c r="F4" s="201" t="s">
        <v>282</v>
      </c>
      <c r="G4" s="24"/>
      <c r="H4" s="201" t="s">
        <v>283</v>
      </c>
      <c r="I4" s="24"/>
      <c r="J4" s="201" t="s">
        <v>284</v>
      </c>
      <c r="K4" s="24"/>
      <c r="L4" s="201" t="s">
        <v>285</v>
      </c>
      <c r="M4" s="24"/>
      <c r="N4" s="201" t="s">
        <v>286</v>
      </c>
      <c r="O4" s="24"/>
      <c r="P4" s="202" t="s">
        <v>287</v>
      </c>
      <c r="Q4" s="202" t="s">
        <v>288</v>
      </c>
    </row>
    <row r="5">
      <c r="A5" s="3"/>
      <c r="B5" s="203" t="str">
        <f>September!B5</f>
        <v>EASY RUN</v>
      </c>
      <c r="C5" s="24"/>
      <c r="D5" s="203" t="str">
        <f>September!D5</f>
        <v>HARD WORKOUT
&amp; STRENGTH</v>
      </c>
      <c r="E5" s="24"/>
      <c r="F5" s="203" t="str">
        <f>September!F5</f>
        <v>EASY RUN</v>
      </c>
      <c r="G5" s="24"/>
      <c r="H5" s="203" t="str">
        <f>September!H5</f>
        <v>HARD WORKOUT
&amp; STRENGTH</v>
      </c>
      <c r="I5" s="24"/>
      <c r="J5" s="203" t="str">
        <f>September!J5</f>
        <v>REST</v>
      </c>
      <c r="K5" s="24"/>
      <c r="L5" s="203" t="str">
        <f>September!L5</f>
        <v>LONG RUN</v>
      </c>
      <c r="M5" s="24"/>
      <c r="N5" s="239" t="str">
        <f>September!N5</f>
        <v>REST OR EASY RUN</v>
      </c>
      <c r="O5" s="24"/>
      <c r="P5" s="54"/>
      <c r="Q5" s="54"/>
    </row>
    <row r="6">
      <c r="A6" s="204"/>
      <c r="B6" s="240">
        <v>46300.0</v>
      </c>
      <c r="C6" s="24"/>
      <c r="D6" s="240">
        <v>46301.0</v>
      </c>
      <c r="E6" s="24"/>
      <c r="F6" s="240">
        <v>46302.0</v>
      </c>
      <c r="G6" s="24"/>
      <c r="H6" s="240">
        <v>46303.0</v>
      </c>
      <c r="I6" s="24"/>
      <c r="J6" s="240">
        <v>46304.0</v>
      </c>
      <c r="K6" s="24"/>
      <c r="L6" s="240">
        <v>46305.0</v>
      </c>
      <c r="M6" s="24"/>
      <c r="N6" s="240">
        <v>46306.0</v>
      </c>
      <c r="O6" s="24"/>
      <c r="P6" s="206">
        <f>SUM(B7,D7,F7,H7,J7,L7,N7)</f>
        <v>0</v>
      </c>
      <c r="Q6" s="207"/>
    </row>
    <row r="7">
      <c r="A7" s="49"/>
      <c r="B7" s="210"/>
      <c r="C7" s="209" t="s">
        <v>295</v>
      </c>
      <c r="D7" s="210"/>
      <c r="E7" s="209" t="s">
        <v>295</v>
      </c>
      <c r="F7" s="210"/>
      <c r="G7" s="209" t="s">
        <v>295</v>
      </c>
      <c r="H7" s="210"/>
      <c r="I7" s="209" t="s">
        <v>295</v>
      </c>
      <c r="J7" s="210"/>
      <c r="K7" s="209" t="s">
        <v>295</v>
      </c>
      <c r="L7" s="210"/>
      <c r="M7" s="209" t="s">
        <v>295</v>
      </c>
      <c r="N7" s="210"/>
      <c r="O7" s="209" t="s">
        <v>295</v>
      </c>
      <c r="P7" s="49"/>
      <c r="Q7" s="49"/>
    </row>
    <row r="8">
      <c r="A8" s="49"/>
      <c r="B8" s="213"/>
      <c r="C8" s="212"/>
      <c r="D8" s="213"/>
      <c r="E8" s="212"/>
      <c r="F8" s="213"/>
      <c r="G8" s="212"/>
      <c r="H8" s="213"/>
      <c r="I8" s="212"/>
      <c r="J8" s="213"/>
      <c r="K8" s="212"/>
      <c r="L8" s="213"/>
      <c r="M8" s="212"/>
      <c r="N8" s="213"/>
      <c r="O8" s="212"/>
      <c r="P8" s="49"/>
      <c r="Q8" s="49"/>
    </row>
    <row r="9">
      <c r="A9" s="49"/>
      <c r="B9" s="209" t="s">
        <v>302</v>
      </c>
      <c r="C9" s="209" t="s">
        <v>303</v>
      </c>
      <c r="D9" s="209" t="s">
        <v>302</v>
      </c>
      <c r="E9" s="209" t="s">
        <v>303</v>
      </c>
      <c r="F9" s="209" t="s">
        <v>302</v>
      </c>
      <c r="G9" s="209" t="s">
        <v>303</v>
      </c>
      <c r="H9" s="209" t="s">
        <v>302</v>
      </c>
      <c r="I9" s="209" t="s">
        <v>303</v>
      </c>
      <c r="J9" s="209" t="s">
        <v>302</v>
      </c>
      <c r="K9" s="209" t="s">
        <v>303</v>
      </c>
      <c r="L9" s="209" t="s">
        <v>302</v>
      </c>
      <c r="M9" s="209" t="s">
        <v>303</v>
      </c>
      <c r="N9" s="209" t="s">
        <v>302</v>
      </c>
      <c r="O9" s="209" t="s">
        <v>303</v>
      </c>
      <c r="P9" s="49"/>
      <c r="Q9" s="49"/>
    </row>
    <row r="10">
      <c r="A10" s="49"/>
      <c r="B10" s="214"/>
      <c r="C10" s="214"/>
      <c r="D10" s="214"/>
      <c r="E10" s="214"/>
      <c r="F10" s="214"/>
      <c r="G10" s="214"/>
      <c r="H10" s="214"/>
      <c r="I10" s="214"/>
      <c r="J10" s="214"/>
      <c r="K10" s="214"/>
      <c r="L10" s="214"/>
      <c r="M10" s="215"/>
      <c r="N10" s="214"/>
      <c r="O10" s="214"/>
      <c r="P10" s="3"/>
      <c r="Q10" s="3"/>
    </row>
    <row r="11">
      <c r="A11" s="216"/>
      <c r="B11" s="217" t="s">
        <v>305</v>
      </c>
      <c r="C11" s="24"/>
      <c r="D11" s="217" t="s">
        <v>305</v>
      </c>
      <c r="E11" s="24"/>
      <c r="F11" s="217" t="s">
        <v>305</v>
      </c>
      <c r="G11" s="24"/>
      <c r="H11" s="217" t="s">
        <v>305</v>
      </c>
      <c r="I11" s="24"/>
      <c r="J11" s="217" t="s">
        <v>305</v>
      </c>
      <c r="K11" s="24"/>
      <c r="L11" s="217" t="s">
        <v>305</v>
      </c>
      <c r="M11" s="24"/>
      <c r="N11" s="217" t="s">
        <v>305</v>
      </c>
      <c r="O11" s="24"/>
      <c r="P11" s="218" t="s">
        <v>306</v>
      </c>
      <c r="Q11" s="24"/>
    </row>
    <row r="12">
      <c r="A12" s="49"/>
      <c r="B12" s="219"/>
      <c r="C12" s="24"/>
      <c r="D12" s="219"/>
      <c r="E12" s="24"/>
      <c r="F12" s="219"/>
      <c r="G12" s="24"/>
      <c r="H12" s="219"/>
      <c r="I12" s="24"/>
      <c r="J12" s="219"/>
      <c r="K12" s="24"/>
      <c r="L12" s="219"/>
      <c r="M12" s="24"/>
      <c r="N12" s="219"/>
      <c r="O12" s="24"/>
      <c r="P12" s="219"/>
      <c r="Q12" s="24"/>
    </row>
    <row r="13">
      <c r="A13" s="49"/>
      <c r="B13" s="220" t="s">
        <v>307</v>
      </c>
      <c r="C13" s="221" t="b">
        <v>0</v>
      </c>
      <c r="D13" s="220" t="s">
        <v>307</v>
      </c>
      <c r="E13" s="223" t="b">
        <v>0</v>
      </c>
      <c r="F13" s="220" t="s">
        <v>307</v>
      </c>
      <c r="G13" s="223" t="b">
        <v>0</v>
      </c>
      <c r="H13" s="220" t="s">
        <v>307</v>
      </c>
      <c r="I13" s="223" t="b">
        <v>0</v>
      </c>
      <c r="J13" s="220" t="s">
        <v>307</v>
      </c>
      <c r="K13" s="223" t="b">
        <v>0</v>
      </c>
      <c r="L13" s="220" t="s">
        <v>307</v>
      </c>
      <c r="M13" s="223" t="b">
        <v>0</v>
      </c>
      <c r="N13" s="220" t="s">
        <v>307</v>
      </c>
      <c r="O13" s="223" t="b">
        <v>0</v>
      </c>
      <c r="P13" s="224">
        <f t="shared" ref="P13:P14" si="1">COUNTIF(B13:O13,True)/COUNTA(B13:O13)%/50</f>
        <v>0</v>
      </c>
      <c r="Q13" s="225" t="s">
        <v>308</v>
      </c>
    </row>
    <row r="14">
      <c r="A14" s="49"/>
      <c r="B14" s="220" t="s">
        <v>309</v>
      </c>
      <c r="C14" s="221" t="b">
        <v>0</v>
      </c>
      <c r="D14" s="220" t="s">
        <v>309</v>
      </c>
      <c r="E14" s="221" t="b">
        <v>0</v>
      </c>
      <c r="F14" s="220" t="s">
        <v>309</v>
      </c>
      <c r="G14" s="223" t="b">
        <v>0</v>
      </c>
      <c r="H14" s="220" t="s">
        <v>309</v>
      </c>
      <c r="I14" s="223" t="b">
        <v>0</v>
      </c>
      <c r="J14" s="220" t="s">
        <v>309</v>
      </c>
      <c r="K14" s="223" t="b">
        <v>0</v>
      </c>
      <c r="L14" s="220" t="s">
        <v>309</v>
      </c>
      <c r="M14" s="223" t="b">
        <v>0</v>
      </c>
      <c r="N14" s="220" t="s">
        <v>309</v>
      </c>
      <c r="O14" s="223" t="b">
        <v>0</v>
      </c>
      <c r="P14" s="224">
        <f t="shared" si="1"/>
        <v>0</v>
      </c>
      <c r="Q14" s="3"/>
    </row>
    <row r="15">
      <c r="A15" s="49"/>
      <c r="B15" s="226" t="s">
        <v>310</v>
      </c>
      <c r="C15" s="227"/>
      <c r="D15" s="226" t="s">
        <v>310</v>
      </c>
      <c r="E15" s="227"/>
      <c r="F15" s="226" t="s">
        <v>310</v>
      </c>
      <c r="G15" s="227"/>
      <c r="H15" s="226" t="s">
        <v>310</v>
      </c>
      <c r="I15" s="227"/>
      <c r="J15" s="226" t="s">
        <v>310</v>
      </c>
      <c r="K15" s="227"/>
      <c r="L15" s="226" t="s">
        <v>310</v>
      </c>
      <c r="M15" s="227"/>
      <c r="N15" s="226" t="s">
        <v>310</v>
      </c>
      <c r="O15" s="227"/>
      <c r="P15" s="228">
        <f>COUNTIF(B15:O15,"Yes")</f>
        <v>0</v>
      </c>
      <c r="Q15" s="229" t="s">
        <v>311</v>
      </c>
    </row>
    <row r="16">
      <c r="A16" s="3"/>
      <c r="B16" s="230" t="s">
        <v>312</v>
      </c>
      <c r="C16" s="231"/>
      <c r="D16" s="230" t="s">
        <v>312</v>
      </c>
      <c r="E16" s="231"/>
      <c r="F16" s="230" t="s">
        <v>312</v>
      </c>
      <c r="G16" s="231"/>
      <c r="H16" s="230" t="s">
        <v>312</v>
      </c>
      <c r="I16" s="231"/>
      <c r="J16" s="230" t="s">
        <v>312</v>
      </c>
      <c r="K16" s="231"/>
      <c r="L16" s="230" t="s">
        <v>312</v>
      </c>
      <c r="M16" s="231"/>
      <c r="N16" s="230" t="s">
        <v>312</v>
      </c>
      <c r="O16" s="231"/>
      <c r="P16" s="232">
        <f>SUM(C16,E16,G16,I16,K16,M16,O16)/7</f>
        <v>0</v>
      </c>
      <c r="Q16" s="230" t="s">
        <v>313</v>
      </c>
    </row>
    <row r="17" ht="10.5" customHeight="1">
      <c r="A17" s="233"/>
      <c r="B17" s="55"/>
      <c r="C17" s="55"/>
      <c r="D17" s="55"/>
      <c r="E17" s="55"/>
      <c r="F17" s="55"/>
      <c r="G17" s="55"/>
      <c r="H17" s="55"/>
      <c r="I17" s="55"/>
      <c r="J17" s="55"/>
      <c r="K17" s="55"/>
      <c r="L17" s="55"/>
      <c r="M17" s="55"/>
      <c r="N17" s="55"/>
      <c r="O17" s="55"/>
      <c r="P17" s="55"/>
      <c r="Q17" s="54"/>
    </row>
    <row r="18">
      <c r="A18" s="204"/>
      <c r="B18" s="240">
        <v>46307.0</v>
      </c>
      <c r="C18" s="24"/>
      <c r="D18" s="240">
        <v>46308.0</v>
      </c>
      <c r="E18" s="24"/>
      <c r="F18" s="240">
        <v>46309.0</v>
      </c>
      <c r="G18" s="24"/>
      <c r="H18" s="240">
        <v>46310.0</v>
      </c>
      <c r="I18" s="24"/>
      <c r="J18" s="240">
        <v>46311.0</v>
      </c>
      <c r="K18" s="24"/>
      <c r="L18" s="240">
        <v>46312.0</v>
      </c>
      <c r="M18" s="24"/>
      <c r="N18" s="240">
        <v>46313.0</v>
      </c>
      <c r="O18" s="24"/>
      <c r="P18" s="206">
        <f>SUM(B19,D19,F19,H19,J19,L19,N19)</f>
        <v>0</v>
      </c>
      <c r="Q18" s="207"/>
    </row>
    <row r="19">
      <c r="A19" s="49"/>
      <c r="B19" s="210"/>
      <c r="C19" s="209" t="s">
        <v>295</v>
      </c>
      <c r="D19" s="210"/>
      <c r="E19" s="209" t="s">
        <v>295</v>
      </c>
      <c r="F19" s="210"/>
      <c r="G19" s="209" t="s">
        <v>295</v>
      </c>
      <c r="H19" s="210"/>
      <c r="I19" s="209" t="s">
        <v>295</v>
      </c>
      <c r="J19" s="210"/>
      <c r="K19" s="209" t="s">
        <v>295</v>
      </c>
      <c r="L19" s="210"/>
      <c r="M19" s="209" t="s">
        <v>295</v>
      </c>
      <c r="N19" s="210"/>
      <c r="O19" s="209" t="s">
        <v>295</v>
      </c>
      <c r="P19" s="49"/>
      <c r="Q19" s="49"/>
    </row>
    <row r="20">
      <c r="A20" s="49"/>
      <c r="B20" s="213"/>
      <c r="C20" s="212"/>
      <c r="D20" s="213"/>
      <c r="E20" s="212"/>
      <c r="F20" s="213"/>
      <c r="G20" s="212"/>
      <c r="H20" s="213"/>
      <c r="I20" s="212"/>
      <c r="J20" s="213"/>
      <c r="K20" s="212"/>
      <c r="L20" s="213"/>
      <c r="M20" s="212"/>
      <c r="N20" s="213"/>
      <c r="O20" s="212"/>
      <c r="P20" s="49"/>
      <c r="Q20" s="49"/>
    </row>
    <row r="21">
      <c r="A21" s="49"/>
      <c r="B21" s="209" t="s">
        <v>302</v>
      </c>
      <c r="C21" s="209" t="s">
        <v>303</v>
      </c>
      <c r="D21" s="209" t="s">
        <v>302</v>
      </c>
      <c r="E21" s="209" t="s">
        <v>303</v>
      </c>
      <c r="F21" s="209" t="s">
        <v>302</v>
      </c>
      <c r="G21" s="209" t="s">
        <v>303</v>
      </c>
      <c r="H21" s="209" t="s">
        <v>302</v>
      </c>
      <c r="I21" s="209" t="s">
        <v>303</v>
      </c>
      <c r="J21" s="209" t="s">
        <v>302</v>
      </c>
      <c r="K21" s="209" t="s">
        <v>303</v>
      </c>
      <c r="L21" s="209" t="s">
        <v>302</v>
      </c>
      <c r="M21" s="209" t="s">
        <v>303</v>
      </c>
      <c r="N21" s="209" t="s">
        <v>302</v>
      </c>
      <c r="O21" s="209" t="s">
        <v>303</v>
      </c>
      <c r="P21" s="49"/>
      <c r="Q21" s="49"/>
    </row>
    <row r="22">
      <c r="A22" s="49"/>
      <c r="B22" s="214"/>
      <c r="C22" s="214"/>
      <c r="D22" s="214"/>
      <c r="E22" s="214"/>
      <c r="F22" s="214"/>
      <c r="G22" s="214"/>
      <c r="H22" s="214"/>
      <c r="I22" s="214"/>
      <c r="J22" s="214"/>
      <c r="K22" s="214"/>
      <c r="L22" s="214"/>
      <c r="M22" s="215"/>
      <c r="N22" s="214"/>
      <c r="O22" s="214"/>
      <c r="P22" s="3"/>
      <c r="Q22" s="3"/>
    </row>
    <row r="23">
      <c r="A23" s="216"/>
      <c r="B23" s="217" t="s">
        <v>305</v>
      </c>
      <c r="C23" s="24"/>
      <c r="D23" s="217" t="s">
        <v>305</v>
      </c>
      <c r="E23" s="24"/>
      <c r="F23" s="217" t="s">
        <v>305</v>
      </c>
      <c r="G23" s="24"/>
      <c r="H23" s="217" t="s">
        <v>305</v>
      </c>
      <c r="I23" s="24"/>
      <c r="J23" s="217" t="s">
        <v>305</v>
      </c>
      <c r="K23" s="24"/>
      <c r="L23" s="217" t="s">
        <v>305</v>
      </c>
      <c r="M23" s="24"/>
      <c r="N23" s="217" t="s">
        <v>305</v>
      </c>
      <c r="O23" s="24"/>
      <c r="P23" s="218" t="s">
        <v>306</v>
      </c>
      <c r="Q23" s="24"/>
    </row>
    <row r="24">
      <c r="A24" s="49"/>
      <c r="B24" s="219"/>
      <c r="C24" s="24"/>
      <c r="D24" s="219"/>
      <c r="E24" s="24"/>
      <c r="F24" s="219"/>
      <c r="G24" s="24"/>
      <c r="H24" s="219"/>
      <c r="I24" s="24"/>
      <c r="J24" s="219"/>
      <c r="K24" s="24"/>
      <c r="L24" s="219"/>
      <c r="M24" s="24"/>
      <c r="N24" s="219"/>
      <c r="O24" s="24"/>
      <c r="P24" s="219"/>
      <c r="Q24" s="24"/>
    </row>
    <row r="25">
      <c r="A25" s="49"/>
      <c r="B25" s="220" t="s">
        <v>307</v>
      </c>
      <c r="C25" s="221" t="b">
        <v>0</v>
      </c>
      <c r="D25" s="220" t="s">
        <v>307</v>
      </c>
      <c r="E25" s="223" t="b">
        <v>0</v>
      </c>
      <c r="F25" s="220" t="s">
        <v>307</v>
      </c>
      <c r="G25" s="223" t="b">
        <v>0</v>
      </c>
      <c r="H25" s="220" t="s">
        <v>307</v>
      </c>
      <c r="I25" s="223" t="b">
        <v>0</v>
      </c>
      <c r="J25" s="220" t="s">
        <v>307</v>
      </c>
      <c r="K25" s="223" t="b">
        <v>0</v>
      </c>
      <c r="L25" s="220" t="s">
        <v>307</v>
      </c>
      <c r="M25" s="223" t="b">
        <v>0</v>
      </c>
      <c r="N25" s="220" t="s">
        <v>307</v>
      </c>
      <c r="O25" s="223" t="b">
        <v>0</v>
      </c>
      <c r="P25" s="224">
        <f t="shared" ref="P25:P26" si="2">COUNTIF(B25:O25,True)/COUNTA(B25:O25)%/50</f>
        <v>0</v>
      </c>
      <c r="Q25" s="225" t="s">
        <v>308</v>
      </c>
    </row>
    <row r="26">
      <c r="A26" s="49"/>
      <c r="B26" s="220" t="s">
        <v>309</v>
      </c>
      <c r="C26" s="221" t="b">
        <v>0</v>
      </c>
      <c r="D26" s="220" t="s">
        <v>309</v>
      </c>
      <c r="E26" s="221" t="b">
        <v>0</v>
      </c>
      <c r="F26" s="220" t="s">
        <v>309</v>
      </c>
      <c r="G26" s="223" t="b">
        <v>0</v>
      </c>
      <c r="H26" s="220" t="s">
        <v>309</v>
      </c>
      <c r="I26" s="223" t="b">
        <v>0</v>
      </c>
      <c r="J26" s="220" t="s">
        <v>309</v>
      </c>
      <c r="K26" s="223" t="b">
        <v>0</v>
      </c>
      <c r="L26" s="220" t="s">
        <v>309</v>
      </c>
      <c r="M26" s="223" t="b">
        <v>0</v>
      </c>
      <c r="N26" s="220" t="s">
        <v>309</v>
      </c>
      <c r="O26" s="223" t="b">
        <v>0</v>
      </c>
      <c r="P26" s="224">
        <f t="shared" si="2"/>
        <v>0</v>
      </c>
      <c r="Q26" s="3"/>
    </row>
    <row r="27">
      <c r="A27" s="49"/>
      <c r="B27" s="226" t="s">
        <v>310</v>
      </c>
      <c r="C27" s="227"/>
      <c r="D27" s="226" t="s">
        <v>310</v>
      </c>
      <c r="E27" s="227"/>
      <c r="F27" s="226" t="s">
        <v>310</v>
      </c>
      <c r="G27" s="227"/>
      <c r="H27" s="226" t="s">
        <v>310</v>
      </c>
      <c r="I27" s="227"/>
      <c r="J27" s="226" t="s">
        <v>310</v>
      </c>
      <c r="K27" s="227"/>
      <c r="L27" s="226" t="s">
        <v>310</v>
      </c>
      <c r="M27" s="227"/>
      <c r="N27" s="226" t="s">
        <v>310</v>
      </c>
      <c r="O27" s="227"/>
      <c r="P27" s="228">
        <f>COUNTIF(B27:O27,"Yes")</f>
        <v>0</v>
      </c>
      <c r="Q27" s="229" t="s">
        <v>311</v>
      </c>
    </row>
    <row r="28">
      <c r="A28" s="3"/>
      <c r="B28" s="230" t="s">
        <v>312</v>
      </c>
      <c r="C28" s="231"/>
      <c r="D28" s="230" t="s">
        <v>312</v>
      </c>
      <c r="E28" s="231"/>
      <c r="F28" s="230" t="s">
        <v>312</v>
      </c>
      <c r="G28" s="231"/>
      <c r="H28" s="230" t="s">
        <v>312</v>
      </c>
      <c r="I28" s="231"/>
      <c r="J28" s="230" t="s">
        <v>312</v>
      </c>
      <c r="K28" s="231"/>
      <c r="L28" s="230" t="s">
        <v>312</v>
      </c>
      <c r="M28" s="231"/>
      <c r="N28" s="230" t="s">
        <v>312</v>
      </c>
      <c r="O28" s="231"/>
      <c r="P28" s="232">
        <f>SUM(C28,E28,G28,I28,K28,M28,O28)/7</f>
        <v>0</v>
      </c>
      <c r="Q28" s="230" t="s">
        <v>313</v>
      </c>
    </row>
    <row r="29" ht="10.5" customHeight="1">
      <c r="A29" s="233"/>
      <c r="B29" s="55"/>
      <c r="C29" s="55"/>
      <c r="D29" s="55"/>
      <c r="E29" s="55"/>
      <c r="F29" s="55"/>
      <c r="G29" s="55"/>
      <c r="H29" s="55"/>
      <c r="I29" s="55"/>
      <c r="J29" s="55"/>
      <c r="K29" s="55"/>
      <c r="L29" s="55"/>
      <c r="M29" s="55"/>
      <c r="N29" s="55"/>
      <c r="O29" s="55"/>
      <c r="P29" s="55"/>
      <c r="Q29" s="54"/>
    </row>
    <row r="30">
      <c r="A30" s="204"/>
      <c r="B30" s="240">
        <v>46314.0</v>
      </c>
      <c r="C30" s="24"/>
      <c r="D30" s="240">
        <v>46315.0</v>
      </c>
      <c r="E30" s="24"/>
      <c r="F30" s="240">
        <v>46316.0</v>
      </c>
      <c r="G30" s="24"/>
      <c r="H30" s="240">
        <v>46317.0</v>
      </c>
      <c r="I30" s="24"/>
      <c r="J30" s="240">
        <v>46318.0</v>
      </c>
      <c r="K30" s="24"/>
      <c r="L30" s="240">
        <v>46319.0</v>
      </c>
      <c r="M30" s="24"/>
      <c r="N30" s="240">
        <v>46320.0</v>
      </c>
      <c r="O30" s="24"/>
      <c r="P30" s="206">
        <f>SUM(B31,D31,F31,H31,J31,L31,N31)</f>
        <v>0</v>
      </c>
      <c r="Q30" s="207"/>
    </row>
    <row r="31">
      <c r="A31" s="49"/>
      <c r="B31" s="210"/>
      <c r="C31" s="209" t="s">
        <v>295</v>
      </c>
      <c r="D31" s="210"/>
      <c r="E31" s="209" t="s">
        <v>295</v>
      </c>
      <c r="F31" s="210"/>
      <c r="G31" s="209" t="s">
        <v>295</v>
      </c>
      <c r="H31" s="210"/>
      <c r="I31" s="209" t="s">
        <v>295</v>
      </c>
      <c r="J31" s="210"/>
      <c r="K31" s="209" t="s">
        <v>295</v>
      </c>
      <c r="L31" s="210"/>
      <c r="M31" s="209" t="s">
        <v>295</v>
      </c>
      <c r="N31" s="210"/>
      <c r="O31" s="209" t="s">
        <v>295</v>
      </c>
      <c r="P31" s="49"/>
      <c r="Q31" s="49"/>
    </row>
    <row r="32">
      <c r="A32" s="49"/>
      <c r="B32" s="213"/>
      <c r="C32" s="212"/>
      <c r="D32" s="213"/>
      <c r="E32" s="212"/>
      <c r="F32" s="213"/>
      <c r="G32" s="212"/>
      <c r="H32" s="213"/>
      <c r="I32" s="212"/>
      <c r="J32" s="213"/>
      <c r="K32" s="212"/>
      <c r="L32" s="213"/>
      <c r="M32" s="212"/>
      <c r="N32" s="213"/>
      <c r="O32" s="212"/>
      <c r="P32" s="49"/>
      <c r="Q32" s="49"/>
    </row>
    <row r="33">
      <c r="A33" s="49"/>
      <c r="B33" s="209" t="s">
        <v>302</v>
      </c>
      <c r="C33" s="209" t="s">
        <v>303</v>
      </c>
      <c r="D33" s="209" t="s">
        <v>302</v>
      </c>
      <c r="E33" s="209" t="s">
        <v>303</v>
      </c>
      <c r="F33" s="209" t="s">
        <v>302</v>
      </c>
      <c r="G33" s="209" t="s">
        <v>303</v>
      </c>
      <c r="H33" s="209" t="s">
        <v>302</v>
      </c>
      <c r="I33" s="209" t="s">
        <v>303</v>
      </c>
      <c r="J33" s="209" t="s">
        <v>302</v>
      </c>
      <c r="K33" s="209" t="s">
        <v>303</v>
      </c>
      <c r="L33" s="209" t="s">
        <v>302</v>
      </c>
      <c r="M33" s="209" t="s">
        <v>303</v>
      </c>
      <c r="N33" s="209" t="s">
        <v>302</v>
      </c>
      <c r="O33" s="209" t="s">
        <v>303</v>
      </c>
      <c r="P33" s="49"/>
      <c r="Q33" s="49"/>
    </row>
    <row r="34">
      <c r="A34" s="49"/>
      <c r="B34" s="214"/>
      <c r="C34" s="214"/>
      <c r="D34" s="214"/>
      <c r="E34" s="214"/>
      <c r="F34" s="214"/>
      <c r="G34" s="214"/>
      <c r="H34" s="214"/>
      <c r="I34" s="214"/>
      <c r="J34" s="214"/>
      <c r="K34" s="214"/>
      <c r="L34" s="214"/>
      <c r="M34" s="215"/>
      <c r="N34" s="214"/>
      <c r="O34" s="214"/>
      <c r="P34" s="3"/>
      <c r="Q34" s="3"/>
    </row>
    <row r="35">
      <c r="A35" s="216"/>
      <c r="B35" s="217" t="s">
        <v>305</v>
      </c>
      <c r="C35" s="24"/>
      <c r="D35" s="217" t="s">
        <v>305</v>
      </c>
      <c r="E35" s="24"/>
      <c r="F35" s="217" t="s">
        <v>305</v>
      </c>
      <c r="G35" s="24"/>
      <c r="H35" s="217" t="s">
        <v>305</v>
      </c>
      <c r="I35" s="24"/>
      <c r="J35" s="217" t="s">
        <v>305</v>
      </c>
      <c r="K35" s="24"/>
      <c r="L35" s="217" t="s">
        <v>305</v>
      </c>
      <c r="M35" s="24"/>
      <c r="N35" s="217" t="s">
        <v>305</v>
      </c>
      <c r="O35" s="24"/>
      <c r="P35" s="218" t="s">
        <v>306</v>
      </c>
      <c r="Q35" s="24"/>
    </row>
    <row r="36">
      <c r="A36" s="49"/>
      <c r="B36" s="219"/>
      <c r="C36" s="24"/>
      <c r="D36" s="219"/>
      <c r="E36" s="24"/>
      <c r="F36" s="219"/>
      <c r="G36" s="24"/>
      <c r="H36" s="219"/>
      <c r="I36" s="24"/>
      <c r="J36" s="219"/>
      <c r="K36" s="24"/>
      <c r="L36" s="219"/>
      <c r="M36" s="24"/>
      <c r="N36" s="219"/>
      <c r="O36" s="24"/>
      <c r="P36" s="219"/>
      <c r="Q36" s="24"/>
    </row>
    <row r="37">
      <c r="A37" s="49"/>
      <c r="B37" s="220" t="s">
        <v>307</v>
      </c>
      <c r="C37" s="221" t="b">
        <v>0</v>
      </c>
      <c r="D37" s="220" t="s">
        <v>307</v>
      </c>
      <c r="E37" s="223" t="b">
        <v>0</v>
      </c>
      <c r="F37" s="220" t="s">
        <v>307</v>
      </c>
      <c r="G37" s="223" t="b">
        <v>0</v>
      </c>
      <c r="H37" s="220" t="s">
        <v>307</v>
      </c>
      <c r="I37" s="223" t="b">
        <v>0</v>
      </c>
      <c r="J37" s="220" t="s">
        <v>307</v>
      </c>
      <c r="K37" s="223" t="b">
        <v>0</v>
      </c>
      <c r="L37" s="220" t="s">
        <v>307</v>
      </c>
      <c r="M37" s="223" t="b">
        <v>0</v>
      </c>
      <c r="N37" s="220" t="s">
        <v>307</v>
      </c>
      <c r="O37" s="223" t="b">
        <v>0</v>
      </c>
      <c r="P37" s="224">
        <f t="shared" ref="P37:P38" si="3">COUNTIF(B37:O37,True)/COUNTA(B37:O37)%/50</f>
        <v>0</v>
      </c>
      <c r="Q37" s="225" t="s">
        <v>308</v>
      </c>
    </row>
    <row r="38">
      <c r="A38" s="49"/>
      <c r="B38" s="220" t="s">
        <v>309</v>
      </c>
      <c r="C38" s="221" t="b">
        <v>0</v>
      </c>
      <c r="D38" s="220" t="s">
        <v>309</v>
      </c>
      <c r="E38" s="221" t="b">
        <v>0</v>
      </c>
      <c r="F38" s="220" t="s">
        <v>309</v>
      </c>
      <c r="G38" s="223" t="b">
        <v>0</v>
      </c>
      <c r="H38" s="220" t="s">
        <v>309</v>
      </c>
      <c r="I38" s="223" t="b">
        <v>0</v>
      </c>
      <c r="J38" s="220" t="s">
        <v>309</v>
      </c>
      <c r="K38" s="223" t="b">
        <v>0</v>
      </c>
      <c r="L38" s="220" t="s">
        <v>309</v>
      </c>
      <c r="M38" s="223" t="b">
        <v>0</v>
      </c>
      <c r="N38" s="220" t="s">
        <v>309</v>
      </c>
      <c r="O38" s="223" t="b">
        <v>0</v>
      </c>
      <c r="P38" s="224">
        <f t="shared" si="3"/>
        <v>0</v>
      </c>
      <c r="Q38" s="3"/>
    </row>
    <row r="39">
      <c r="A39" s="49"/>
      <c r="B39" s="226" t="s">
        <v>310</v>
      </c>
      <c r="C39" s="227"/>
      <c r="D39" s="226" t="s">
        <v>310</v>
      </c>
      <c r="E39" s="227"/>
      <c r="F39" s="226" t="s">
        <v>310</v>
      </c>
      <c r="G39" s="227"/>
      <c r="H39" s="226" t="s">
        <v>310</v>
      </c>
      <c r="I39" s="227"/>
      <c r="J39" s="226" t="s">
        <v>310</v>
      </c>
      <c r="K39" s="227"/>
      <c r="L39" s="226" t="s">
        <v>310</v>
      </c>
      <c r="M39" s="227"/>
      <c r="N39" s="226" t="s">
        <v>310</v>
      </c>
      <c r="O39" s="227"/>
      <c r="P39" s="228">
        <f>COUNTIF(B39:O39,"Yes")</f>
        <v>0</v>
      </c>
      <c r="Q39" s="229" t="s">
        <v>311</v>
      </c>
    </row>
    <row r="40">
      <c r="A40" s="3"/>
      <c r="B40" s="230" t="s">
        <v>312</v>
      </c>
      <c r="C40" s="231"/>
      <c r="D40" s="230" t="s">
        <v>312</v>
      </c>
      <c r="E40" s="231"/>
      <c r="F40" s="230" t="s">
        <v>312</v>
      </c>
      <c r="G40" s="231"/>
      <c r="H40" s="230" t="s">
        <v>312</v>
      </c>
      <c r="I40" s="231"/>
      <c r="J40" s="230" t="s">
        <v>312</v>
      </c>
      <c r="K40" s="231"/>
      <c r="L40" s="230" t="s">
        <v>312</v>
      </c>
      <c r="M40" s="231"/>
      <c r="N40" s="230" t="s">
        <v>312</v>
      </c>
      <c r="O40" s="231"/>
      <c r="P40" s="232">
        <f>SUM(C40,E40,G40,I40,K40,M40,O40)/7</f>
        <v>0</v>
      </c>
      <c r="Q40" s="230" t="s">
        <v>313</v>
      </c>
    </row>
    <row r="41" ht="10.5" customHeight="1">
      <c r="A41" s="233"/>
      <c r="B41" s="55"/>
      <c r="C41" s="55"/>
      <c r="D41" s="55"/>
      <c r="E41" s="55"/>
      <c r="F41" s="55"/>
      <c r="G41" s="55"/>
      <c r="H41" s="55"/>
      <c r="I41" s="55"/>
      <c r="J41" s="55"/>
      <c r="K41" s="55"/>
      <c r="L41" s="55"/>
      <c r="M41" s="55"/>
      <c r="N41" s="55"/>
      <c r="O41" s="55"/>
      <c r="P41" s="55"/>
      <c r="Q41" s="54"/>
    </row>
    <row r="42">
      <c r="A42" s="204"/>
      <c r="B42" s="240">
        <v>46321.0</v>
      </c>
      <c r="C42" s="24"/>
      <c r="D42" s="240">
        <v>46322.0</v>
      </c>
      <c r="E42" s="24"/>
      <c r="F42" s="240">
        <v>46323.0</v>
      </c>
      <c r="G42" s="24"/>
      <c r="H42" s="240">
        <v>46324.0</v>
      </c>
      <c r="I42" s="24"/>
      <c r="J42" s="240">
        <v>46325.0</v>
      </c>
      <c r="K42" s="24"/>
      <c r="L42" s="240">
        <v>46326.0</v>
      </c>
      <c r="M42" s="24"/>
      <c r="N42" s="240">
        <v>46327.0</v>
      </c>
      <c r="O42" s="24"/>
      <c r="P42" s="206">
        <f>SUM(B43,D43,F43,H43,J43,L43,N43)</f>
        <v>0</v>
      </c>
      <c r="Q42" s="207"/>
    </row>
    <row r="43">
      <c r="A43" s="49"/>
      <c r="B43" s="210"/>
      <c r="C43" s="209" t="s">
        <v>295</v>
      </c>
      <c r="D43" s="210"/>
      <c r="E43" s="209" t="s">
        <v>295</v>
      </c>
      <c r="F43" s="210"/>
      <c r="G43" s="209" t="s">
        <v>295</v>
      </c>
      <c r="H43" s="210"/>
      <c r="I43" s="209" t="s">
        <v>295</v>
      </c>
      <c r="J43" s="210"/>
      <c r="K43" s="209" t="s">
        <v>295</v>
      </c>
      <c r="L43" s="210"/>
      <c r="M43" s="209" t="s">
        <v>295</v>
      </c>
      <c r="N43" s="210"/>
      <c r="O43" s="209" t="s">
        <v>295</v>
      </c>
      <c r="P43" s="49"/>
      <c r="Q43" s="49"/>
    </row>
    <row r="44">
      <c r="A44" s="49"/>
      <c r="B44" s="213"/>
      <c r="C44" s="212"/>
      <c r="D44" s="213"/>
      <c r="E44" s="212"/>
      <c r="F44" s="213"/>
      <c r="G44" s="212"/>
      <c r="H44" s="213"/>
      <c r="I44" s="212"/>
      <c r="J44" s="213"/>
      <c r="K44" s="212"/>
      <c r="L44" s="213"/>
      <c r="M44" s="212"/>
      <c r="N44" s="213"/>
      <c r="O44" s="212"/>
      <c r="P44" s="49"/>
      <c r="Q44" s="49"/>
    </row>
    <row r="45">
      <c r="A45" s="49"/>
      <c r="B45" s="209" t="s">
        <v>302</v>
      </c>
      <c r="C45" s="209" t="s">
        <v>303</v>
      </c>
      <c r="D45" s="209" t="s">
        <v>302</v>
      </c>
      <c r="E45" s="209" t="s">
        <v>303</v>
      </c>
      <c r="F45" s="209" t="s">
        <v>302</v>
      </c>
      <c r="G45" s="209" t="s">
        <v>303</v>
      </c>
      <c r="H45" s="209" t="s">
        <v>302</v>
      </c>
      <c r="I45" s="209" t="s">
        <v>303</v>
      </c>
      <c r="J45" s="209" t="s">
        <v>302</v>
      </c>
      <c r="K45" s="209" t="s">
        <v>303</v>
      </c>
      <c r="L45" s="209" t="s">
        <v>302</v>
      </c>
      <c r="M45" s="209" t="s">
        <v>303</v>
      </c>
      <c r="N45" s="209" t="s">
        <v>302</v>
      </c>
      <c r="O45" s="209" t="s">
        <v>303</v>
      </c>
      <c r="P45" s="49"/>
      <c r="Q45" s="49"/>
    </row>
    <row r="46">
      <c r="A46" s="49"/>
      <c r="B46" s="214"/>
      <c r="C46" s="214"/>
      <c r="D46" s="214"/>
      <c r="E46" s="214"/>
      <c r="F46" s="214"/>
      <c r="G46" s="214"/>
      <c r="H46" s="214"/>
      <c r="I46" s="214"/>
      <c r="J46" s="214"/>
      <c r="K46" s="214"/>
      <c r="L46" s="214"/>
      <c r="M46" s="215"/>
      <c r="N46" s="214"/>
      <c r="O46" s="214"/>
      <c r="P46" s="3"/>
      <c r="Q46" s="3"/>
    </row>
    <row r="47">
      <c r="A47" s="216"/>
      <c r="B47" s="217" t="s">
        <v>305</v>
      </c>
      <c r="C47" s="24"/>
      <c r="D47" s="217" t="s">
        <v>305</v>
      </c>
      <c r="E47" s="24"/>
      <c r="F47" s="217" t="s">
        <v>305</v>
      </c>
      <c r="G47" s="24"/>
      <c r="H47" s="217" t="s">
        <v>305</v>
      </c>
      <c r="I47" s="24"/>
      <c r="J47" s="217" t="s">
        <v>305</v>
      </c>
      <c r="K47" s="24"/>
      <c r="L47" s="217" t="s">
        <v>305</v>
      </c>
      <c r="M47" s="24"/>
      <c r="N47" s="217" t="s">
        <v>305</v>
      </c>
      <c r="O47" s="24"/>
      <c r="P47" s="218" t="s">
        <v>306</v>
      </c>
      <c r="Q47" s="24"/>
    </row>
    <row r="48">
      <c r="A48" s="49"/>
      <c r="B48" s="219"/>
      <c r="C48" s="24"/>
      <c r="D48" s="219"/>
      <c r="E48" s="24"/>
      <c r="F48" s="219"/>
      <c r="G48" s="24"/>
      <c r="H48" s="219"/>
      <c r="I48" s="24"/>
      <c r="J48" s="219"/>
      <c r="K48" s="24"/>
      <c r="L48" s="219"/>
      <c r="M48" s="24"/>
      <c r="N48" s="219"/>
      <c r="O48" s="24"/>
      <c r="P48" s="219"/>
      <c r="Q48" s="24"/>
    </row>
    <row r="49">
      <c r="A49" s="49"/>
      <c r="B49" s="220" t="s">
        <v>307</v>
      </c>
      <c r="C49" s="221" t="b">
        <v>0</v>
      </c>
      <c r="D49" s="220" t="s">
        <v>307</v>
      </c>
      <c r="E49" s="223" t="b">
        <v>0</v>
      </c>
      <c r="F49" s="220" t="s">
        <v>307</v>
      </c>
      <c r="G49" s="223" t="b">
        <v>0</v>
      </c>
      <c r="H49" s="220" t="s">
        <v>307</v>
      </c>
      <c r="I49" s="223" t="b">
        <v>0</v>
      </c>
      <c r="J49" s="220" t="s">
        <v>307</v>
      </c>
      <c r="K49" s="223" t="b">
        <v>0</v>
      </c>
      <c r="L49" s="220" t="s">
        <v>307</v>
      </c>
      <c r="M49" s="223" t="b">
        <v>0</v>
      </c>
      <c r="N49" s="220" t="s">
        <v>307</v>
      </c>
      <c r="O49" s="223" t="b">
        <v>0</v>
      </c>
      <c r="P49" s="224">
        <f t="shared" ref="P49:P50" si="4">COUNTIF(B49:O49,True)/COUNTA(B49:O49)%/50</f>
        <v>0</v>
      </c>
      <c r="Q49" s="225" t="s">
        <v>308</v>
      </c>
    </row>
    <row r="50">
      <c r="A50" s="49"/>
      <c r="B50" s="220" t="s">
        <v>309</v>
      </c>
      <c r="C50" s="221" t="b">
        <v>0</v>
      </c>
      <c r="D50" s="220" t="s">
        <v>309</v>
      </c>
      <c r="E50" s="221" t="b">
        <v>0</v>
      </c>
      <c r="F50" s="220" t="s">
        <v>309</v>
      </c>
      <c r="G50" s="223" t="b">
        <v>0</v>
      </c>
      <c r="H50" s="220" t="s">
        <v>309</v>
      </c>
      <c r="I50" s="223" t="b">
        <v>0</v>
      </c>
      <c r="J50" s="220" t="s">
        <v>309</v>
      </c>
      <c r="K50" s="223" t="b">
        <v>0</v>
      </c>
      <c r="L50" s="220" t="s">
        <v>309</v>
      </c>
      <c r="M50" s="223" t="b">
        <v>0</v>
      </c>
      <c r="N50" s="220" t="s">
        <v>309</v>
      </c>
      <c r="O50" s="223" t="b">
        <v>0</v>
      </c>
      <c r="P50" s="224">
        <f t="shared" si="4"/>
        <v>0</v>
      </c>
      <c r="Q50" s="3"/>
    </row>
    <row r="51">
      <c r="A51" s="49"/>
      <c r="B51" s="226" t="s">
        <v>310</v>
      </c>
      <c r="C51" s="227"/>
      <c r="D51" s="226" t="s">
        <v>310</v>
      </c>
      <c r="E51" s="227"/>
      <c r="F51" s="226" t="s">
        <v>310</v>
      </c>
      <c r="G51" s="227"/>
      <c r="H51" s="226" t="s">
        <v>310</v>
      </c>
      <c r="I51" s="227"/>
      <c r="J51" s="226" t="s">
        <v>310</v>
      </c>
      <c r="K51" s="227"/>
      <c r="L51" s="226" t="s">
        <v>310</v>
      </c>
      <c r="M51" s="227"/>
      <c r="N51" s="226" t="s">
        <v>310</v>
      </c>
      <c r="O51" s="227"/>
      <c r="P51" s="228">
        <f>COUNTIF(B51:O51,"Yes")</f>
        <v>0</v>
      </c>
      <c r="Q51" s="229" t="s">
        <v>311</v>
      </c>
    </row>
    <row r="52">
      <c r="A52" s="3"/>
      <c r="B52" s="230" t="s">
        <v>312</v>
      </c>
      <c r="C52" s="231"/>
      <c r="D52" s="230" t="s">
        <v>312</v>
      </c>
      <c r="E52" s="231"/>
      <c r="F52" s="230" t="s">
        <v>312</v>
      </c>
      <c r="G52" s="231"/>
      <c r="H52" s="230" t="s">
        <v>312</v>
      </c>
      <c r="I52" s="231"/>
      <c r="J52" s="230" t="s">
        <v>312</v>
      </c>
      <c r="K52" s="231"/>
      <c r="L52" s="230" t="s">
        <v>312</v>
      </c>
      <c r="M52" s="231"/>
      <c r="N52" s="230" t="s">
        <v>312</v>
      </c>
      <c r="O52" s="231"/>
      <c r="P52" s="232">
        <f>SUM(C52,E52,G52,I52,K52,M52,O52)/7</f>
        <v>0</v>
      </c>
      <c r="Q52" s="230" t="s">
        <v>313</v>
      </c>
    </row>
  </sheetData>
  <mergeCells count="139">
    <mergeCell ref="B18:C18"/>
    <mergeCell ref="B23:C23"/>
    <mergeCell ref="A47:A52"/>
    <mergeCell ref="B47:C47"/>
    <mergeCell ref="D47:E47"/>
    <mergeCell ref="B48:C48"/>
    <mergeCell ref="D48:E48"/>
    <mergeCell ref="A23:A28"/>
    <mergeCell ref="B24:C24"/>
    <mergeCell ref="A30:A34"/>
    <mergeCell ref="B30:C30"/>
    <mergeCell ref="A35:A40"/>
    <mergeCell ref="B35:C35"/>
    <mergeCell ref="D35:E35"/>
    <mergeCell ref="N18:O18"/>
    <mergeCell ref="P18:P22"/>
    <mergeCell ref="Q18:Q22"/>
    <mergeCell ref="H23:I23"/>
    <mergeCell ref="J23:K23"/>
    <mergeCell ref="N23:O23"/>
    <mergeCell ref="P23:Q23"/>
    <mergeCell ref="A18:A22"/>
    <mergeCell ref="D18:E18"/>
    <mergeCell ref="F18:G18"/>
    <mergeCell ref="H18:I18"/>
    <mergeCell ref="J18:K18"/>
    <mergeCell ref="L18:M18"/>
    <mergeCell ref="L23:M23"/>
    <mergeCell ref="D23:E23"/>
    <mergeCell ref="F23:G23"/>
    <mergeCell ref="D24:E24"/>
    <mergeCell ref="F24:G24"/>
    <mergeCell ref="H24:I24"/>
    <mergeCell ref="J24:K24"/>
    <mergeCell ref="L24:M24"/>
    <mergeCell ref="N30:O30"/>
    <mergeCell ref="A41:Q41"/>
    <mergeCell ref="N24:O24"/>
    <mergeCell ref="P24:Q24"/>
    <mergeCell ref="Q25:Q26"/>
    <mergeCell ref="A29:Q29"/>
    <mergeCell ref="D30:E30"/>
    <mergeCell ref="F30:G30"/>
    <mergeCell ref="H30:I30"/>
    <mergeCell ref="H48:I48"/>
    <mergeCell ref="J48:K48"/>
    <mergeCell ref="P48:Q48"/>
    <mergeCell ref="Q49:Q50"/>
    <mergeCell ref="F4:G4"/>
    <mergeCell ref="H4:I4"/>
    <mergeCell ref="D5:E5"/>
    <mergeCell ref="F5:G5"/>
    <mergeCell ref="D6:E6"/>
    <mergeCell ref="F6:G6"/>
    <mergeCell ref="D11:E11"/>
    <mergeCell ref="F11:G11"/>
    <mergeCell ref="H11:I11"/>
    <mergeCell ref="N12:O12"/>
    <mergeCell ref="P12:Q12"/>
    <mergeCell ref="J11:K11"/>
    <mergeCell ref="L11:M11"/>
    <mergeCell ref="N11:O11"/>
    <mergeCell ref="P11:Q11"/>
    <mergeCell ref="D12:E12"/>
    <mergeCell ref="F12:G12"/>
    <mergeCell ref="H12:I12"/>
    <mergeCell ref="D2:E3"/>
    <mergeCell ref="B4:C4"/>
    <mergeCell ref="D4:E4"/>
    <mergeCell ref="J4:K4"/>
    <mergeCell ref="L4:M4"/>
    <mergeCell ref="N4:O4"/>
    <mergeCell ref="P4:P5"/>
    <mergeCell ref="N5:O5"/>
    <mergeCell ref="N6:O6"/>
    <mergeCell ref="P6:P10"/>
    <mergeCell ref="Q6:Q10"/>
    <mergeCell ref="Q13:Q14"/>
    <mergeCell ref="H5:I5"/>
    <mergeCell ref="J5:K5"/>
    <mergeCell ref="H6:I6"/>
    <mergeCell ref="J6:K6"/>
    <mergeCell ref="L6:M6"/>
    <mergeCell ref="B1:G1"/>
    <mergeCell ref="H1:I3"/>
    <mergeCell ref="J1:O3"/>
    <mergeCell ref="P1:Q3"/>
    <mergeCell ref="F2:G2"/>
    <mergeCell ref="F3:G3"/>
    <mergeCell ref="Q4:Q5"/>
    <mergeCell ref="L5:M5"/>
    <mergeCell ref="J12:K12"/>
    <mergeCell ref="L12:M12"/>
    <mergeCell ref="A17:Q17"/>
    <mergeCell ref="A1:A5"/>
    <mergeCell ref="B5:C5"/>
    <mergeCell ref="A6:A10"/>
    <mergeCell ref="B6:C6"/>
    <mergeCell ref="A11:A16"/>
    <mergeCell ref="B11:C11"/>
    <mergeCell ref="B12:C12"/>
    <mergeCell ref="L35:M35"/>
    <mergeCell ref="N35:O35"/>
    <mergeCell ref="J30:K30"/>
    <mergeCell ref="L30:M30"/>
    <mergeCell ref="P30:P34"/>
    <mergeCell ref="Q30:Q34"/>
    <mergeCell ref="F35:G35"/>
    <mergeCell ref="H35:I35"/>
    <mergeCell ref="J35:K35"/>
    <mergeCell ref="P35:Q35"/>
    <mergeCell ref="P36:Q36"/>
    <mergeCell ref="Q37:Q38"/>
    <mergeCell ref="B36:C36"/>
    <mergeCell ref="D36:E36"/>
    <mergeCell ref="F36:G36"/>
    <mergeCell ref="H36:I36"/>
    <mergeCell ref="J36:K36"/>
    <mergeCell ref="L36:M36"/>
    <mergeCell ref="N36:O36"/>
    <mergeCell ref="N42:O42"/>
    <mergeCell ref="P42:P46"/>
    <mergeCell ref="Q42:Q46"/>
    <mergeCell ref="A42:A46"/>
    <mergeCell ref="B42:C42"/>
    <mergeCell ref="D42:E42"/>
    <mergeCell ref="F42:G42"/>
    <mergeCell ref="H42:I42"/>
    <mergeCell ref="J42:K42"/>
    <mergeCell ref="L42:M42"/>
    <mergeCell ref="L48:M48"/>
    <mergeCell ref="N48:O48"/>
    <mergeCell ref="F47:G47"/>
    <mergeCell ref="H47:I47"/>
    <mergeCell ref="J47:K47"/>
    <mergeCell ref="L47:M47"/>
    <mergeCell ref="N47:O47"/>
    <mergeCell ref="P47:Q47"/>
    <mergeCell ref="F48:G48"/>
  </mergeCells>
  <dataValidations>
    <dataValidation type="list" allowBlank="1" showErrorMessage="1" sqref="A11 A23 A35 A47">
      <formula1>"Don't Push/ Strict Paces,Focus on Recovery Don't Push,Focus HEAVILY on Rolling/ Stretching/ Recovery,Fuel Every Quality Session/ TRACK and see what works/ doesn't,Prep/Fuel Like Race Week,If you feel good; close last 10-20% of hard/ long workouts faster,S"&amp;"tay on Top of the Little Things / Be Ready to Push,Focus More on Strength,Last EASY (50%) Strength: Sat or Sun,Schedule Race Prep Call,Communicate Daily w/ Coach"</formula1>
    </dataValidation>
    <dataValidation type="list" allowBlank="1" showErrorMessage="1" sqref="C16 E16 G16 I16 K16 M16 O16 C28 E28 G28 I28 K28 M28 O28 C40 E40 G40 I40 K40 M40 O40 C52 E52 G52 I52 K52 M52 O52">
      <formula1>"1,2,3,4,5,6,7,8,9,10"</formula1>
    </dataValidation>
    <dataValidation type="list" allowBlank="1" showErrorMessage="1" sqref="A6 A18 A30 A42">
      <formula1>"REST WEEK,BUILD WEEK,PUSH WEEK,PEAK WEEK,RACE WEEK,INJURED,ILLNESS,RETURN WEEK,CROSS TRAINING,TRAVEL/ LIMITED WEEK"</formula1>
    </dataValidation>
    <dataValidation type="list" allowBlank="1" showErrorMessage="1" sqref="C15 E15 G15 I15 K15 M15 O15 C27 E27 G27 I27 K27 M27 O27 C39 E39 G39 I39 K39 M39 O39 C51 E51 G51 I51 K51 M51 O51">
      <formula1>"Yes,No"</formula1>
    </dataValidation>
  </dataValidations>
  <hyperlinks>
    <hyperlink r:id="rId1" ref="D2"/>
    <hyperlink r:id="rId2" ref="F2"/>
    <hyperlink r:id="rId3" ref="F3"/>
  </hyperlinks>
  <drawing r:id="rId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2" max="2" width="18.5"/>
    <col customWidth="1" min="4" max="4" width="18.88"/>
    <col customWidth="1" min="6" max="6" width="18.5"/>
    <col customWidth="1" min="7" max="7" width="14.63"/>
    <col customWidth="1" min="8" max="8" width="18.5"/>
    <col customWidth="1" min="10" max="10" width="18.13"/>
    <col customWidth="1" min="12" max="12" width="18.13"/>
    <col customWidth="1" min="14" max="14" width="18.38"/>
    <col customWidth="1" min="17" max="17" width="14.88"/>
  </cols>
  <sheetData>
    <row r="1">
      <c r="A1" s="238" t="str">
        <f>October!A1</f>
        <v>STRAVA</v>
      </c>
      <c r="B1" s="243" t="s">
        <v>384</v>
      </c>
      <c r="C1" s="23"/>
      <c r="D1" s="23"/>
      <c r="E1" s="23"/>
      <c r="F1" s="23"/>
      <c r="G1" s="23"/>
      <c r="H1" s="191" t="s">
        <v>272</v>
      </c>
      <c r="I1" s="48"/>
      <c r="J1" s="192"/>
      <c r="K1" s="48"/>
      <c r="L1" s="48"/>
      <c r="M1" s="48"/>
      <c r="N1" s="48"/>
      <c r="O1" s="48"/>
      <c r="P1" s="193"/>
      <c r="Q1" s="42"/>
    </row>
    <row r="2">
      <c r="A2" s="49"/>
      <c r="B2" s="194" t="s">
        <v>274</v>
      </c>
      <c r="C2" s="237" t="str">
        <f>October!C2</f>
        <v>1.5 mile</v>
      </c>
      <c r="D2" s="196" t="s">
        <v>276</v>
      </c>
      <c r="E2" s="48"/>
      <c r="F2" s="197" t="s">
        <v>277</v>
      </c>
      <c r="G2" s="24"/>
      <c r="H2" s="50"/>
      <c r="P2" s="50"/>
      <c r="Q2" s="51"/>
    </row>
    <row r="3">
      <c r="A3" s="49"/>
      <c r="B3" s="198" t="s">
        <v>278</v>
      </c>
      <c r="C3" s="237" t="str">
        <f>October!C3</f>
        <v>1.5 mile</v>
      </c>
      <c r="D3" s="50"/>
      <c r="F3" s="199" t="s">
        <v>279</v>
      </c>
      <c r="G3" s="24"/>
      <c r="H3" s="50"/>
      <c r="P3" s="53"/>
      <c r="Q3" s="54"/>
    </row>
    <row r="4">
      <c r="A4" s="49"/>
      <c r="B4" s="200" t="s">
        <v>280</v>
      </c>
      <c r="C4" s="24"/>
      <c r="D4" s="201" t="s">
        <v>281</v>
      </c>
      <c r="E4" s="24"/>
      <c r="F4" s="201" t="s">
        <v>282</v>
      </c>
      <c r="G4" s="24"/>
      <c r="H4" s="201" t="s">
        <v>283</v>
      </c>
      <c r="I4" s="24"/>
      <c r="J4" s="201" t="s">
        <v>284</v>
      </c>
      <c r="K4" s="24"/>
      <c r="L4" s="201" t="s">
        <v>285</v>
      </c>
      <c r="M4" s="24"/>
      <c r="N4" s="201" t="s">
        <v>286</v>
      </c>
      <c r="O4" s="24"/>
      <c r="P4" s="202" t="s">
        <v>287</v>
      </c>
      <c r="Q4" s="202" t="s">
        <v>288</v>
      </c>
    </row>
    <row r="5">
      <c r="A5" s="3"/>
      <c r="B5" s="203" t="str">
        <f>October!B5</f>
        <v>EASY RUN</v>
      </c>
      <c r="C5" s="24"/>
      <c r="D5" s="203" t="str">
        <f>October!D5</f>
        <v>HARD WORKOUT
&amp; STRENGTH</v>
      </c>
      <c r="E5" s="24"/>
      <c r="F5" s="203" t="str">
        <f>October!F5</f>
        <v>EASY RUN</v>
      </c>
      <c r="G5" s="24"/>
      <c r="H5" s="203" t="str">
        <f>October!H5</f>
        <v>HARD WORKOUT
&amp; STRENGTH</v>
      </c>
      <c r="I5" s="24"/>
      <c r="J5" s="203" t="str">
        <f>October!J5</f>
        <v>REST</v>
      </c>
      <c r="K5" s="24"/>
      <c r="L5" s="203" t="str">
        <f>October!L5</f>
        <v>LONG RUN</v>
      </c>
      <c r="M5" s="24"/>
      <c r="N5" s="239" t="str">
        <f>October!N5</f>
        <v>REST OR EASY RUN</v>
      </c>
      <c r="O5" s="24"/>
      <c r="P5" s="54"/>
      <c r="Q5" s="54"/>
    </row>
    <row r="6">
      <c r="A6" s="204"/>
      <c r="B6" s="240">
        <v>46328.0</v>
      </c>
      <c r="C6" s="24"/>
      <c r="D6" s="240">
        <v>46329.0</v>
      </c>
      <c r="E6" s="24"/>
      <c r="F6" s="240">
        <v>46330.0</v>
      </c>
      <c r="G6" s="24"/>
      <c r="H6" s="240">
        <v>46331.0</v>
      </c>
      <c r="I6" s="24"/>
      <c r="J6" s="240">
        <v>46332.0</v>
      </c>
      <c r="K6" s="24"/>
      <c r="L6" s="240">
        <v>46333.0</v>
      </c>
      <c r="M6" s="24"/>
      <c r="N6" s="240">
        <v>46334.0</v>
      </c>
      <c r="O6" s="24"/>
      <c r="P6" s="206">
        <f>SUM(B7,D7,F7,H7,J7,L7,N7)</f>
        <v>0</v>
      </c>
      <c r="Q6" s="207"/>
    </row>
    <row r="7">
      <c r="A7" s="49"/>
      <c r="B7" s="210"/>
      <c r="C7" s="209" t="s">
        <v>295</v>
      </c>
      <c r="D7" s="210"/>
      <c r="E7" s="209" t="s">
        <v>295</v>
      </c>
      <c r="F7" s="210"/>
      <c r="G7" s="209" t="s">
        <v>295</v>
      </c>
      <c r="H7" s="210"/>
      <c r="I7" s="209" t="s">
        <v>295</v>
      </c>
      <c r="J7" s="210"/>
      <c r="K7" s="209" t="s">
        <v>295</v>
      </c>
      <c r="L7" s="210"/>
      <c r="M7" s="209" t="s">
        <v>295</v>
      </c>
      <c r="N7" s="210"/>
      <c r="O7" s="209" t="s">
        <v>295</v>
      </c>
      <c r="P7" s="49"/>
      <c r="Q7" s="49"/>
    </row>
    <row r="8">
      <c r="A8" s="49"/>
      <c r="B8" s="213"/>
      <c r="C8" s="212"/>
      <c r="D8" s="213"/>
      <c r="E8" s="212"/>
      <c r="F8" s="213"/>
      <c r="G8" s="212"/>
      <c r="H8" s="213"/>
      <c r="I8" s="212"/>
      <c r="J8" s="213"/>
      <c r="K8" s="212"/>
      <c r="L8" s="213"/>
      <c r="M8" s="212"/>
      <c r="N8" s="213"/>
      <c r="O8" s="212"/>
      <c r="P8" s="49"/>
      <c r="Q8" s="49"/>
    </row>
    <row r="9">
      <c r="A9" s="49"/>
      <c r="B9" s="209" t="s">
        <v>302</v>
      </c>
      <c r="C9" s="209" t="s">
        <v>303</v>
      </c>
      <c r="D9" s="209" t="s">
        <v>302</v>
      </c>
      <c r="E9" s="209" t="s">
        <v>303</v>
      </c>
      <c r="F9" s="209" t="s">
        <v>302</v>
      </c>
      <c r="G9" s="209" t="s">
        <v>303</v>
      </c>
      <c r="H9" s="209" t="s">
        <v>302</v>
      </c>
      <c r="I9" s="209" t="s">
        <v>303</v>
      </c>
      <c r="J9" s="209" t="s">
        <v>302</v>
      </c>
      <c r="K9" s="209" t="s">
        <v>303</v>
      </c>
      <c r="L9" s="209" t="s">
        <v>302</v>
      </c>
      <c r="M9" s="209" t="s">
        <v>303</v>
      </c>
      <c r="N9" s="209" t="s">
        <v>302</v>
      </c>
      <c r="O9" s="209" t="s">
        <v>303</v>
      </c>
      <c r="P9" s="49"/>
      <c r="Q9" s="49"/>
    </row>
    <row r="10">
      <c r="A10" s="49"/>
      <c r="B10" s="214"/>
      <c r="C10" s="214"/>
      <c r="D10" s="214"/>
      <c r="E10" s="214"/>
      <c r="F10" s="214"/>
      <c r="G10" s="214"/>
      <c r="H10" s="214"/>
      <c r="I10" s="214"/>
      <c r="J10" s="214"/>
      <c r="K10" s="214"/>
      <c r="L10" s="214"/>
      <c r="M10" s="215"/>
      <c r="N10" s="214"/>
      <c r="O10" s="214"/>
      <c r="P10" s="3"/>
      <c r="Q10" s="3"/>
    </row>
    <row r="11">
      <c r="A11" s="216"/>
      <c r="B11" s="217" t="s">
        <v>305</v>
      </c>
      <c r="C11" s="24"/>
      <c r="D11" s="217" t="s">
        <v>305</v>
      </c>
      <c r="E11" s="24"/>
      <c r="F11" s="217" t="s">
        <v>305</v>
      </c>
      <c r="G11" s="24"/>
      <c r="H11" s="217" t="s">
        <v>305</v>
      </c>
      <c r="I11" s="24"/>
      <c r="J11" s="217" t="s">
        <v>305</v>
      </c>
      <c r="K11" s="24"/>
      <c r="L11" s="217" t="s">
        <v>305</v>
      </c>
      <c r="M11" s="24"/>
      <c r="N11" s="217" t="s">
        <v>305</v>
      </c>
      <c r="O11" s="24"/>
      <c r="P11" s="218" t="s">
        <v>306</v>
      </c>
      <c r="Q11" s="24"/>
    </row>
    <row r="12">
      <c r="A12" s="49"/>
      <c r="B12" s="219"/>
      <c r="C12" s="24"/>
      <c r="D12" s="219"/>
      <c r="E12" s="24"/>
      <c r="F12" s="219"/>
      <c r="G12" s="24"/>
      <c r="H12" s="219"/>
      <c r="I12" s="24"/>
      <c r="J12" s="219"/>
      <c r="K12" s="24"/>
      <c r="L12" s="219"/>
      <c r="M12" s="24"/>
      <c r="N12" s="219"/>
      <c r="O12" s="24"/>
      <c r="P12" s="219"/>
      <c r="Q12" s="24"/>
    </row>
    <row r="13">
      <c r="A13" s="49"/>
      <c r="B13" s="220" t="s">
        <v>307</v>
      </c>
      <c r="C13" s="221" t="b">
        <v>0</v>
      </c>
      <c r="D13" s="220" t="s">
        <v>307</v>
      </c>
      <c r="E13" s="223" t="b">
        <v>0</v>
      </c>
      <c r="F13" s="220" t="s">
        <v>307</v>
      </c>
      <c r="G13" s="223" t="b">
        <v>0</v>
      </c>
      <c r="H13" s="220" t="s">
        <v>307</v>
      </c>
      <c r="I13" s="223" t="b">
        <v>0</v>
      </c>
      <c r="J13" s="220" t="s">
        <v>307</v>
      </c>
      <c r="K13" s="223" t="b">
        <v>0</v>
      </c>
      <c r="L13" s="220" t="s">
        <v>307</v>
      </c>
      <c r="M13" s="223" t="b">
        <v>0</v>
      </c>
      <c r="N13" s="220" t="s">
        <v>307</v>
      </c>
      <c r="O13" s="223" t="b">
        <v>0</v>
      </c>
      <c r="P13" s="224">
        <f t="shared" ref="P13:P14" si="1">COUNTIF(B13:O13,True)/COUNTA(B13:O13)%/50</f>
        <v>0</v>
      </c>
      <c r="Q13" s="225" t="s">
        <v>308</v>
      </c>
    </row>
    <row r="14">
      <c r="A14" s="49"/>
      <c r="B14" s="220" t="s">
        <v>309</v>
      </c>
      <c r="C14" s="221" t="b">
        <v>0</v>
      </c>
      <c r="D14" s="220" t="s">
        <v>309</v>
      </c>
      <c r="E14" s="221" t="b">
        <v>0</v>
      </c>
      <c r="F14" s="220" t="s">
        <v>309</v>
      </c>
      <c r="G14" s="223" t="b">
        <v>0</v>
      </c>
      <c r="H14" s="220" t="s">
        <v>309</v>
      </c>
      <c r="I14" s="221" t="b">
        <v>0</v>
      </c>
      <c r="J14" s="220" t="s">
        <v>309</v>
      </c>
      <c r="K14" s="223" t="b">
        <v>0</v>
      </c>
      <c r="L14" s="220" t="s">
        <v>309</v>
      </c>
      <c r="M14" s="223" t="b">
        <v>0</v>
      </c>
      <c r="N14" s="220" t="s">
        <v>309</v>
      </c>
      <c r="O14" s="223" t="b">
        <v>0</v>
      </c>
      <c r="P14" s="224">
        <f t="shared" si="1"/>
        <v>0</v>
      </c>
      <c r="Q14" s="3"/>
    </row>
    <row r="15">
      <c r="A15" s="49"/>
      <c r="B15" s="226" t="s">
        <v>310</v>
      </c>
      <c r="C15" s="227"/>
      <c r="D15" s="226" t="s">
        <v>310</v>
      </c>
      <c r="E15" s="227"/>
      <c r="F15" s="226" t="s">
        <v>310</v>
      </c>
      <c r="G15" s="227"/>
      <c r="H15" s="226" t="s">
        <v>310</v>
      </c>
      <c r="I15" s="227"/>
      <c r="J15" s="226" t="s">
        <v>310</v>
      </c>
      <c r="K15" s="227"/>
      <c r="L15" s="226" t="s">
        <v>310</v>
      </c>
      <c r="M15" s="227"/>
      <c r="N15" s="226" t="s">
        <v>310</v>
      </c>
      <c r="O15" s="227"/>
      <c r="P15" s="228">
        <f>COUNTIF(B15:O15,"Yes")</f>
        <v>0</v>
      </c>
      <c r="Q15" s="229" t="s">
        <v>311</v>
      </c>
    </row>
    <row r="16">
      <c r="A16" s="3"/>
      <c r="B16" s="230" t="s">
        <v>312</v>
      </c>
      <c r="C16" s="231"/>
      <c r="D16" s="230" t="s">
        <v>312</v>
      </c>
      <c r="E16" s="231"/>
      <c r="F16" s="230" t="s">
        <v>312</v>
      </c>
      <c r="G16" s="231"/>
      <c r="H16" s="230" t="s">
        <v>312</v>
      </c>
      <c r="I16" s="231"/>
      <c r="J16" s="230" t="s">
        <v>312</v>
      </c>
      <c r="K16" s="231"/>
      <c r="L16" s="230" t="s">
        <v>312</v>
      </c>
      <c r="M16" s="231"/>
      <c r="N16" s="230" t="s">
        <v>312</v>
      </c>
      <c r="O16" s="231"/>
      <c r="P16" s="232">
        <f>SUM(C16,E16,G16,I16,K16,M16,O16)/7</f>
        <v>0</v>
      </c>
      <c r="Q16" s="230" t="s">
        <v>313</v>
      </c>
    </row>
    <row r="17" ht="10.5" customHeight="1">
      <c r="A17" s="233"/>
      <c r="B17" s="55"/>
      <c r="C17" s="55"/>
      <c r="D17" s="55"/>
      <c r="E17" s="55"/>
      <c r="F17" s="55"/>
      <c r="G17" s="55"/>
      <c r="H17" s="55"/>
      <c r="I17" s="55"/>
      <c r="J17" s="55"/>
      <c r="K17" s="55"/>
      <c r="L17" s="55"/>
      <c r="M17" s="55"/>
      <c r="N17" s="55"/>
      <c r="O17" s="55"/>
      <c r="P17" s="55"/>
      <c r="Q17" s="54"/>
    </row>
    <row r="18">
      <c r="A18" s="204"/>
      <c r="B18" s="240">
        <v>46335.0</v>
      </c>
      <c r="C18" s="24"/>
      <c r="D18" s="240">
        <v>46336.0</v>
      </c>
      <c r="E18" s="24"/>
      <c r="F18" s="240">
        <v>46337.0</v>
      </c>
      <c r="G18" s="24"/>
      <c r="H18" s="240">
        <v>46338.0</v>
      </c>
      <c r="I18" s="24"/>
      <c r="J18" s="240">
        <v>46339.0</v>
      </c>
      <c r="K18" s="24"/>
      <c r="L18" s="240">
        <v>46340.0</v>
      </c>
      <c r="M18" s="24"/>
      <c r="N18" s="240">
        <v>46341.0</v>
      </c>
      <c r="O18" s="24"/>
      <c r="P18" s="206">
        <f>SUM(B19,D19,F19,H19,J19,L19,N19)</f>
        <v>0</v>
      </c>
      <c r="Q18" s="207"/>
    </row>
    <row r="19">
      <c r="A19" s="49"/>
      <c r="B19" s="210"/>
      <c r="C19" s="209" t="s">
        <v>295</v>
      </c>
      <c r="D19" s="210"/>
      <c r="E19" s="209" t="s">
        <v>295</v>
      </c>
      <c r="F19" s="210"/>
      <c r="G19" s="209" t="s">
        <v>295</v>
      </c>
      <c r="H19" s="210"/>
      <c r="I19" s="209" t="s">
        <v>295</v>
      </c>
      <c r="J19" s="210"/>
      <c r="K19" s="209" t="s">
        <v>295</v>
      </c>
      <c r="L19" s="210"/>
      <c r="M19" s="209" t="s">
        <v>295</v>
      </c>
      <c r="N19" s="210"/>
      <c r="O19" s="209" t="s">
        <v>295</v>
      </c>
      <c r="P19" s="49"/>
      <c r="Q19" s="49"/>
    </row>
    <row r="20">
      <c r="A20" s="49"/>
      <c r="B20" s="213"/>
      <c r="C20" s="212"/>
      <c r="D20" s="213"/>
      <c r="E20" s="212"/>
      <c r="F20" s="213"/>
      <c r="G20" s="212"/>
      <c r="H20" s="213"/>
      <c r="I20" s="212"/>
      <c r="J20" s="213"/>
      <c r="K20" s="212"/>
      <c r="L20" s="213"/>
      <c r="M20" s="212"/>
      <c r="N20" s="213"/>
      <c r="O20" s="212"/>
      <c r="P20" s="49"/>
      <c r="Q20" s="49"/>
    </row>
    <row r="21">
      <c r="A21" s="49"/>
      <c r="B21" s="209" t="s">
        <v>302</v>
      </c>
      <c r="C21" s="209" t="s">
        <v>303</v>
      </c>
      <c r="D21" s="209" t="s">
        <v>302</v>
      </c>
      <c r="E21" s="209" t="s">
        <v>303</v>
      </c>
      <c r="F21" s="209" t="s">
        <v>302</v>
      </c>
      <c r="G21" s="209" t="s">
        <v>303</v>
      </c>
      <c r="H21" s="209" t="s">
        <v>302</v>
      </c>
      <c r="I21" s="209" t="s">
        <v>303</v>
      </c>
      <c r="J21" s="209" t="s">
        <v>302</v>
      </c>
      <c r="K21" s="209" t="s">
        <v>303</v>
      </c>
      <c r="L21" s="209" t="s">
        <v>302</v>
      </c>
      <c r="M21" s="209" t="s">
        <v>303</v>
      </c>
      <c r="N21" s="209" t="s">
        <v>302</v>
      </c>
      <c r="O21" s="209" t="s">
        <v>303</v>
      </c>
      <c r="P21" s="49"/>
      <c r="Q21" s="49"/>
    </row>
    <row r="22">
      <c r="A22" s="49"/>
      <c r="B22" s="214"/>
      <c r="C22" s="214"/>
      <c r="D22" s="214"/>
      <c r="E22" s="214"/>
      <c r="F22" s="214"/>
      <c r="G22" s="214"/>
      <c r="H22" s="214"/>
      <c r="I22" s="214"/>
      <c r="J22" s="214"/>
      <c r="K22" s="214"/>
      <c r="L22" s="214"/>
      <c r="M22" s="215"/>
      <c r="N22" s="214"/>
      <c r="O22" s="214"/>
      <c r="P22" s="3"/>
      <c r="Q22" s="3"/>
    </row>
    <row r="23">
      <c r="A23" s="216"/>
      <c r="B23" s="217" t="s">
        <v>305</v>
      </c>
      <c r="C23" s="24"/>
      <c r="D23" s="217" t="s">
        <v>305</v>
      </c>
      <c r="E23" s="24"/>
      <c r="F23" s="217" t="s">
        <v>305</v>
      </c>
      <c r="G23" s="24"/>
      <c r="H23" s="217" t="s">
        <v>305</v>
      </c>
      <c r="I23" s="24"/>
      <c r="J23" s="217" t="s">
        <v>305</v>
      </c>
      <c r="K23" s="24"/>
      <c r="L23" s="217" t="s">
        <v>305</v>
      </c>
      <c r="M23" s="24"/>
      <c r="N23" s="217" t="s">
        <v>305</v>
      </c>
      <c r="O23" s="24"/>
      <c r="P23" s="218" t="s">
        <v>306</v>
      </c>
      <c r="Q23" s="24"/>
    </row>
    <row r="24">
      <c r="A24" s="49"/>
      <c r="B24" s="219"/>
      <c r="C24" s="24"/>
      <c r="D24" s="219"/>
      <c r="E24" s="24"/>
      <c r="F24" s="219"/>
      <c r="G24" s="24"/>
      <c r="H24" s="219"/>
      <c r="I24" s="24"/>
      <c r="J24" s="219"/>
      <c r="K24" s="24"/>
      <c r="L24" s="219"/>
      <c r="M24" s="24"/>
      <c r="N24" s="219"/>
      <c r="O24" s="24"/>
      <c r="P24" s="219"/>
      <c r="Q24" s="24"/>
    </row>
    <row r="25">
      <c r="A25" s="49"/>
      <c r="B25" s="220" t="s">
        <v>307</v>
      </c>
      <c r="C25" s="221" t="b">
        <v>0</v>
      </c>
      <c r="D25" s="220" t="s">
        <v>307</v>
      </c>
      <c r="E25" s="223" t="b">
        <v>0</v>
      </c>
      <c r="F25" s="220" t="s">
        <v>307</v>
      </c>
      <c r="G25" s="223" t="b">
        <v>0</v>
      </c>
      <c r="H25" s="220" t="s">
        <v>307</v>
      </c>
      <c r="I25" s="223" t="b">
        <v>0</v>
      </c>
      <c r="J25" s="220" t="s">
        <v>307</v>
      </c>
      <c r="K25" s="223" t="b">
        <v>0</v>
      </c>
      <c r="L25" s="220" t="s">
        <v>307</v>
      </c>
      <c r="M25" s="223" t="b">
        <v>0</v>
      </c>
      <c r="N25" s="220" t="s">
        <v>307</v>
      </c>
      <c r="O25" s="223" t="b">
        <v>0</v>
      </c>
      <c r="P25" s="224">
        <f t="shared" ref="P25:P26" si="2">COUNTIF(B25:O25,True)/COUNTA(B25:O25)%/50</f>
        <v>0</v>
      </c>
      <c r="Q25" s="225" t="s">
        <v>308</v>
      </c>
    </row>
    <row r="26">
      <c r="A26" s="49"/>
      <c r="B26" s="220" t="s">
        <v>309</v>
      </c>
      <c r="C26" s="221" t="b">
        <v>0</v>
      </c>
      <c r="D26" s="220" t="s">
        <v>309</v>
      </c>
      <c r="E26" s="221" t="b">
        <v>0</v>
      </c>
      <c r="F26" s="220" t="s">
        <v>309</v>
      </c>
      <c r="G26" s="223" t="b">
        <v>0</v>
      </c>
      <c r="H26" s="220" t="s">
        <v>309</v>
      </c>
      <c r="I26" s="223" t="b">
        <v>0</v>
      </c>
      <c r="J26" s="220" t="s">
        <v>309</v>
      </c>
      <c r="K26" s="223" t="b">
        <v>0</v>
      </c>
      <c r="L26" s="220" t="s">
        <v>309</v>
      </c>
      <c r="M26" s="223" t="b">
        <v>0</v>
      </c>
      <c r="N26" s="220" t="s">
        <v>309</v>
      </c>
      <c r="O26" s="223" t="b">
        <v>0</v>
      </c>
      <c r="P26" s="224">
        <f t="shared" si="2"/>
        <v>0</v>
      </c>
      <c r="Q26" s="3"/>
    </row>
    <row r="27">
      <c r="A27" s="49"/>
      <c r="B27" s="226" t="s">
        <v>310</v>
      </c>
      <c r="C27" s="227"/>
      <c r="D27" s="226" t="s">
        <v>310</v>
      </c>
      <c r="E27" s="227"/>
      <c r="F27" s="226" t="s">
        <v>310</v>
      </c>
      <c r="G27" s="227"/>
      <c r="H27" s="226" t="s">
        <v>310</v>
      </c>
      <c r="I27" s="227"/>
      <c r="J27" s="226" t="s">
        <v>310</v>
      </c>
      <c r="K27" s="227"/>
      <c r="L27" s="226" t="s">
        <v>310</v>
      </c>
      <c r="M27" s="227"/>
      <c r="N27" s="226" t="s">
        <v>310</v>
      </c>
      <c r="O27" s="227"/>
      <c r="P27" s="228">
        <f>COUNTIF(B27:O27,"Yes")</f>
        <v>0</v>
      </c>
      <c r="Q27" s="229" t="s">
        <v>311</v>
      </c>
    </row>
    <row r="28">
      <c r="A28" s="3"/>
      <c r="B28" s="230" t="s">
        <v>312</v>
      </c>
      <c r="C28" s="231"/>
      <c r="D28" s="230" t="s">
        <v>312</v>
      </c>
      <c r="E28" s="231"/>
      <c r="F28" s="230" t="s">
        <v>312</v>
      </c>
      <c r="G28" s="231"/>
      <c r="H28" s="230" t="s">
        <v>312</v>
      </c>
      <c r="I28" s="231"/>
      <c r="J28" s="230" t="s">
        <v>312</v>
      </c>
      <c r="K28" s="231"/>
      <c r="L28" s="230" t="s">
        <v>312</v>
      </c>
      <c r="M28" s="231"/>
      <c r="N28" s="230" t="s">
        <v>312</v>
      </c>
      <c r="O28" s="231"/>
      <c r="P28" s="232">
        <f>SUM(C28,E28,G28,I28,K28,M28,O28)/7</f>
        <v>0</v>
      </c>
      <c r="Q28" s="230" t="s">
        <v>313</v>
      </c>
    </row>
    <row r="29" ht="10.5" customHeight="1">
      <c r="A29" s="233"/>
      <c r="B29" s="55"/>
      <c r="C29" s="55"/>
      <c r="D29" s="55"/>
      <c r="E29" s="55"/>
      <c r="F29" s="55"/>
      <c r="G29" s="55"/>
      <c r="H29" s="55"/>
      <c r="I29" s="55"/>
      <c r="J29" s="55"/>
      <c r="K29" s="55"/>
      <c r="L29" s="55"/>
      <c r="M29" s="55"/>
      <c r="N29" s="55"/>
      <c r="O29" s="55"/>
      <c r="P29" s="55"/>
      <c r="Q29" s="54"/>
    </row>
    <row r="30">
      <c r="A30" s="204"/>
      <c r="B30" s="240">
        <v>46342.0</v>
      </c>
      <c r="C30" s="24"/>
      <c r="D30" s="240">
        <v>46343.0</v>
      </c>
      <c r="E30" s="24"/>
      <c r="F30" s="240">
        <v>46344.0</v>
      </c>
      <c r="G30" s="24"/>
      <c r="H30" s="240">
        <v>46345.0</v>
      </c>
      <c r="I30" s="24"/>
      <c r="J30" s="240">
        <v>46346.0</v>
      </c>
      <c r="K30" s="24"/>
      <c r="L30" s="240">
        <v>46347.0</v>
      </c>
      <c r="M30" s="24"/>
      <c r="N30" s="240">
        <v>46348.0</v>
      </c>
      <c r="O30" s="24"/>
      <c r="P30" s="206">
        <f>SUM(B31,D31,F31,H31,J31,L31,N31)</f>
        <v>0</v>
      </c>
      <c r="Q30" s="207"/>
    </row>
    <row r="31">
      <c r="A31" s="49"/>
      <c r="B31" s="210"/>
      <c r="C31" s="209" t="s">
        <v>295</v>
      </c>
      <c r="D31" s="210"/>
      <c r="E31" s="209" t="s">
        <v>295</v>
      </c>
      <c r="F31" s="210"/>
      <c r="G31" s="209" t="s">
        <v>295</v>
      </c>
      <c r="H31" s="210"/>
      <c r="I31" s="209" t="s">
        <v>295</v>
      </c>
      <c r="J31" s="210"/>
      <c r="K31" s="209" t="s">
        <v>295</v>
      </c>
      <c r="L31" s="210"/>
      <c r="M31" s="209" t="s">
        <v>295</v>
      </c>
      <c r="N31" s="210"/>
      <c r="O31" s="209" t="s">
        <v>295</v>
      </c>
      <c r="P31" s="49"/>
      <c r="Q31" s="49"/>
    </row>
    <row r="32">
      <c r="A32" s="49"/>
      <c r="B32" s="213"/>
      <c r="C32" s="212"/>
      <c r="D32" s="213"/>
      <c r="E32" s="212"/>
      <c r="F32" s="213"/>
      <c r="G32" s="212"/>
      <c r="H32" s="213"/>
      <c r="I32" s="212"/>
      <c r="J32" s="213"/>
      <c r="K32" s="212"/>
      <c r="L32" s="213"/>
      <c r="M32" s="212"/>
      <c r="N32" s="213"/>
      <c r="O32" s="212"/>
      <c r="P32" s="49"/>
      <c r="Q32" s="49"/>
    </row>
    <row r="33">
      <c r="A33" s="49"/>
      <c r="B33" s="209" t="s">
        <v>302</v>
      </c>
      <c r="C33" s="209" t="s">
        <v>303</v>
      </c>
      <c r="D33" s="209" t="s">
        <v>302</v>
      </c>
      <c r="E33" s="209" t="s">
        <v>303</v>
      </c>
      <c r="F33" s="209" t="s">
        <v>302</v>
      </c>
      <c r="G33" s="209" t="s">
        <v>303</v>
      </c>
      <c r="H33" s="209" t="s">
        <v>302</v>
      </c>
      <c r="I33" s="209" t="s">
        <v>303</v>
      </c>
      <c r="J33" s="209" t="s">
        <v>302</v>
      </c>
      <c r="K33" s="209" t="s">
        <v>303</v>
      </c>
      <c r="L33" s="209" t="s">
        <v>302</v>
      </c>
      <c r="M33" s="209" t="s">
        <v>303</v>
      </c>
      <c r="N33" s="209" t="s">
        <v>302</v>
      </c>
      <c r="O33" s="209" t="s">
        <v>303</v>
      </c>
      <c r="P33" s="49"/>
      <c r="Q33" s="49"/>
    </row>
    <row r="34">
      <c r="A34" s="49"/>
      <c r="B34" s="214"/>
      <c r="C34" s="214"/>
      <c r="D34" s="214"/>
      <c r="E34" s="214"/>
      <c r="F34" s="214"/>
      <c r="G34" s="214"/>
      <c r="H34" s="214"/>
      <c r="I34" s="214"/>
      <c r="J34" s="214"/>
      <c r="K34" s="214"/>
      <c r="L34" s="214"/>
      <c r="M34" s="215"/>
      <c r="N34" s="214"/>
      <c r="O34" s="214"/>
      <c r="P34" s="3"/>
      <c r="Q34" s="3"/>
    </row>
    <row r="35">
      <c r="A35" s="216"/>
      <c r="B35" s="217" t="s">
        <v>305</v>
      </c>
      <c r="C35" s="24"/>
      <c r="D35" s="217" t="s">
        <v>305</v>
      </c>
      <c r="E35" s="24"/>
      <c r="F35" s="217" t="s">
        <v>305</v>
      </c>
      <c r="G35" s="24"/>
      <c r="H35" s="217" t="s">
        <v>305</v>
      </c>
      <c r="I35" s="24"/>
      <c r="J35" s="217" t="s">
        <v>305</v>
      </c>
      <c r="K35" s="24"/>
      <c r="L35" s="217" t="s">
        <v>305</v>
      </c>
      <c r="M35" s="24"/>
      <c r="N35" s="217" t="s">
        <v>305</v>
      </c>
      <c r="O35" s="24"/>
      <c r="P35" s="218" t="s">
        <v>306</v>
      </c>
      <c r="Q35" s="24"/>
    </row>
    <row r="36">
      <c r="A36" s="49"/>
      <c r="B36" s="219"/>
      <c r="C36" s="24"/>
      <c r="D36" s="219"/>
      <c r="E36" s="24"/>
      <c r="F36" s="219"/>
      <c r="G36" s="24"/>
      <c r="H36" s="219"/>
      <c r="I36" s="24"/>
      <c r="J36" s="219"/>
      <c r="K36" s="24"/>
      <c r="L36" s="219"/>
      <c r="M36" s="24"/>
      <c r="N36" s="219"/>
      <c r="O36" s="24"/>
      <c r="P36" s="219"/>
      <c r="Q36" s="24"/>
    </row>
    <row r="37">
      <c r="A37" s="49"/>
      <c r="B37" s="220" t="s">
        <v>307</v>
      </c>
      <c r="C37" s="221" t="b">
        <v>0</v>
      </c>
      <c r="D37" s="220" t="s">
        <v>307</v>
      </c>
      <c r="E37" s="223" t="b">
        <v>0</v>
      </c>
      <c r="F37" s="220" t="s">
        <v>307</v>
      </c>
      <c r="G37" s="223" t="b">
        <v>0</v>
      </c>
      <c r="H37" s="220" t="s">
        <v>307</v>
      </c>
      <c r="I37" s="223" t="b">
        <v>0</v>
      </c>
      <c r="J37" s="220" t="s">
        <v>307</v>
      </c>
      <c r="K37" s="223" t="b">
        <v>0</v>
      </c>
      <c r="L37" s="220" t="s">
        <v>307</v>
      </c>
      <c r="M37" s="223" t="b">
        <v>0</v>
      </c>
      <c r="N37" s="220" t="s">
        <v>307</v>
      </c>
      <c r="O37" s="223" t="b">
        <v>0</v>
      </c>
      <c r="P37" s="224">
        <f t="shared" ref="P37:P38" si="3">COUNTIF(B37:O37,True)/COUNTA(B37:O37)%/50</f>
        <v>0</v>
      </c>
      <c r="Q37" s="225" t="s">
        <v>308</v>
      </c>
    </row>
    <row r="38">
      <c r="A38" s="49"/>
      <c r="B38" s="220" t="s">
        <v>309</v>
      </c>
      <c r="C38" s="221" t="b">
        <v>0</v>
      </c>
      <c r="D38" s="220" t="s">
        <v>309</v>
      </c>
      <c r="E38" s="221" t="b">
        <v>0</v>
      </c>
      <c r="F38" s="220" t="s">
        <v>309</v>
      </c>
      <c r="G38" s="223" t="b">
        <v>0</v>
      </c>
      <c r="H38" s="220" t="s">
        <v>309</v>
      </c>
      <c r="I38" s="223" t="b">
        <v>0</v>
      </c>
      <c r="J38" s="220" t="s">
        <v>309</v>
      </c>
      <c r="K38" s="223" t="b">
        <v>0</v>
      </c>
      <c r="L38" s="220" t="s">
        <v>309</v>
      </c>
      <c r="M38" s="223" t="b">
        <v>0</v>
      </c>
      <c r="N38" s="220" t="s">
        <v>309</v>
      </c>
      <c r="O38" s="223" t="b">
        <v>0</v>
      </c>
      <c r="P38" s="224">
        <f t="shared" si="3"/>
        <v>0</v>
      </c>
      <c r="Q38" s="3"/>
    </row>
    <row r="39">
      <c r="A39" s="49"/>
      <c r="B39" s="226" t="s">
        <v>310</v>
      </c>
      <c r="C39" s="227"/>
      <c r="D39" s="226" t="s">
        <v>310</v>
      </c>
      <c r="E39" s="227"/>
      <c r="F39" s="226" t="s">
        <v>310</v>
      </c>
      <c r="G39" s="227"/>
      <c r="H39" s="226" t="s">
        <v>310</v>
      </c>
      <c r="I39" s="227"/>
      <c r="J39" s="226" t="s">
        <v>310</v>
      </c>
      <c r="K39" s="227"/>
      <c r="L39" s="226" t="s">
        <v>310</v>
      </c>
      <c r="M39" s="227"/>
      <c r="N39" s="226" t="s">
        <v>310</v>
      </c>
      <c r="O39" s="227"/>
      <c r="P39" s="228">
        <f>COUNTIF(B39:O39,"Yes")</f>
        <v>0</v>
      </c>
      <c r="Q39" s="229" t="s">
        <v>311</v>
      </c>
    </row>
    <row r="40">
      <c r="A40" s="3"/>
      <c r="B40" s="230" t="s">
        <v>312</v>
      </c>
      <c r="C40" s="231"/>
      <c r="D40" s="230" t="s">
        <v>312</v>
      </c>
      <c r="E40" s="231"/>
      <c r="F40" s="230" t="s">
        <v>312</v>
      </c>
      <c r="G40" s="231"/>
      <c r="H40" s="230" t="s">
        <v>312</v>
      </c>
      <c r="I40" s="231"/>
      <c r="J40" s="230" t="s">
        <v>312</v>
      </c>
      <c r="K40" s="231"/>
      <c r="L40" s="230" t="s">
        <v>312</v>
      </c>
      <c r="M40" s="231"/>
      <c r="N40" s="230" t="s">
        <v>312</v>
      </c>
      <c r="O40" s="231"/>
      <c r="P40" s="232">
        <f>SUM(C40,E40,G40,I40,K40,M40,O40)/7</f>
        <v>0</v>
      </c>
      <c r="Q40" s="230" t="s">
        <v>313</v>
      </c>
    </row>
    <row r="41" ht="10.5" customHeight="1">
      <c r="A41" s="233"/>
      <c r="B41" s="55"/>
      <c r="C41" s="55"/>
      <c r="D41" s="55"/>
      <c r="E41" s="55"/>
      <c r="F41" s="55"/>
      <c r="G41" s="55"/>
      <c r="H41" s="55"/>
      <c r="I41" s="55"/>
      <c r="J41" s="55"/>
      <c r="K41" s="55"/>
      <c r="L41" s="55"/>
      <c r="M41" s="55"/>
      <c r="N41" s="55"/>
      <c r="O41" s="55"/>
      <c r="P41" s="55"/>
      <c r="Q41" s="54"/>
    </row>
    <row r="42">
      <c r="A42" s="204"/>
      <c r="B42" s="240">
        <v>46349.0</v>
      </c>
      <c r="C42" s="24"/>
      <c r="D42" s="240">
        <v>46350.0</v>
      </c>
      <c r="E42" s="24"/>
      <c r="F42" s="240">
        <v>46351.0</v>
      </c>
      <c r="G42" s="24"/>
      <c r="H42" s="240">
        <v>46352.0</v>
      </c>
      <c r="I42" s="24"/>
      <c r="J42" s="240">
        <v>46353.0</v>
      </c>
      <c r="K42" s="24"/>
      <c r="L42" s="240">
        <v>46354.0</v>
      </c>
      <c r="M42" s="24"/>
      <c r="N42" s="240">
        <v>46355.0</v>
      </c>
      <c r="O42" s="24"/>
      <c r="P42" s="206">
        <f>SUM(B43,D43,F43,H43,J43,L43,N43)</f>
        <v>0</v>
      </c>
      <c r="Q42" s="207"/>
    </row>
    <row r="43">
      <c r="A43" s="49"/>
      <c r="B43" s="210"/>
      <c r="C43" s="209" t="s">
        <v>295</v>
      </c>
      <c r="D43" s="210"/>
      <c r="E43" s="209" t="s">
        <v>295</v>
      </c>
      <c r="F43" s="210"/>
      <c r="G43" s="209" t="s">
        <v>295</v>
      </c>
      <c r="H43" s="210"/>
      <c r="I43" s="209" t="s">
        <v>295</v>
      </c>
      <c r="J43" s="210"/>
      <c r="K43" s="209" t="s">
        <v>295</v>
      </c>
      <c r="L43" s="210"/>
      <c r="M43" s="209" t="s">
        <v>295</v>
      </c>
      <c r="N43" s="210"/>
      <c r="O43" s="209" t="s">
        <v>295</v>
      </c>
      <c r="P43" s="49"/>
      <c r="Q43" s="49"/>
    </row>
    <row r="44">
      <c r="A44" s="49"/>
      <c r="B44" s="213"/>
      <c r="C44" s="212"/>
      <c r="D44" s="213"/>
      <c r="E44" s="212"/>
      <c r="F44" s="213"/>
      <c r="G44" s="212"/>
      <c r="H44" s="213"/>
      <c r="I44" s="212"/>
      <c r="J44" s="213"/>
      <c r="K44" s="212"/>
      <c r="L44" s="213"/>
      <c r="M44" s="212"/>
      <c r="N44" s="213"/>
      <c r="O44" s="212"/>
      <c r="P44" s="49"/>
      <c r="Q44" s="49"/>
    </row>
    <row r="45">
      <c r="A45" s="49"/>
      <c r="B45" s="209" t="s">
        <v>302</v>
      </c>
      <c r="C45" s="209" t="s">
        <v>303</v>
      </c>
      <c r="D45" s="209" t="s">
        <v>302</v>
      </c>
      <c r="E45" s="209" t="s">
        <v>303</v>
      </c>
      <c r="F45" s="209" t="s">
        <v>302</v>
      </c>
      <c r="G45" s="209" t="s">
        <v>303</v>
      </c>
      <c r="H45" s="209" t="s">
        <v>302</v>
      </c>
      <c r="I45" s="209" t="s">
        <v>303</v>
      </c>
      <c r="J45" s="209" t="s">
        <v>302</v>
      </c>
      <c r="K45" s="209" t="s">
        <v>303</v>
      </c>
      <c r="L45" s="209" t="s">
        <v>302</v>
      </c>
      <c r="M45" s="209" t="s">
        <v>303</v>
      </c>
      <c r="N45" s="209" t="s">
        <v>302</v>
      </c>
      <c r="O45" s="209" t="s">
        <v>303</v>
      </c>
      <c r="P45" s="49"/>
      <c r="Q45" s="49"/>
    </row>
    <row r="46">
      <c r="A46" s="49"/>
      <c r="B46" s="214"/>
      <c r="C46" s="214"/>
      <c r="D46" s="214"/>
      <c r="E46" s="214"/>
      <c r="F46" s="214"/>
      <c r="G46" s="214"/>
      <c r="H46" s="214"/>
      <c r="I46" s="214"/>
      <c r="J46" s="214"/>
      <c r="K46" s="214"/>
      <c r="L46" s="214"/>
      <c r="M46" s="215"/>
      <c r="N46" s="214"/>
      <c r="O46" s="214"/>
      <c r="P46" s="3"/>
      <c r="Q46" s="3"/>
    </row>
    <row r="47">
      <c r="A47" s="216"/>
      <c r="B47" s="217" t="s">
        <v>305</v>
      </c>
      <c r="C47" s="24"/>
      <c r="D47" s="217" t="s">
        <v>305</v>
      </c>
      <c r="E47" s="24"/>
      <c r="F47" s="217" t="s">
        <v>305</v>
      </c>
      <c r="G47" s="24"/>
      <c r="H47" s="217" t="s">
        <v>305</v>
      </c>
      <c r="I47" s="24"/>
      <c r="J47" s="217" t="s">
        <v>305</v>
      </c>
      <c r="K47" s="24"/>
      <c r="L47" s="217" t="s">
        <v>305</v>
      </c>
      <c r="M47" s="24"/>
      <c r="N47" s="217" t="s">
        <v>305</v>
      </c>
      <c r="O47" s="24"/>
      <c r="P47" s="218" t="s">
        <v>306</v>
      </c>
      <c r="Q47" s="24"/>
    </row>
    <row r="48">
      <c r="A48" s="49"/>
      <c r="B48" s="219"/>
      <c r="C48" s="24"/>
      <c r="D48" s="219"/>
      <c r="E48" s="24"/>
      <c r="F48" s="219"/>
      <c r="G48" s="24"/>
      <c r="H48" s="219"/>
      <c r="I48" s="24"/>
      <c r="J48" s="219"/>
      <c r="K48" s="24"/>
      <c r="L48" s="219"/>
      <c r="M48" s="24"/>
      <c r="N48" s="219"/>
      <c r="O48" s="24"/>
      <c r="P48" s="219"/>
      <c r="Q48" s="24"/>
    </row>
    <row r="49">
      <c r="A49" s="49"/>
      <c r="B49" s="220" t="s">
        <v>307</v>
      </c>
      <c r="C49" s="221" t="b">
        <v>0</v>
      </c>
      <c r="D49" s="220" t="s">
        <v>307</v>
      </c>
      <c r="E49" s="223" t="b">
        <v>0</v>
      </c>
      <c r="F49" s="220" t="s">
        <v>307</v>
      </c>
      <c r="G49" s="223" t="b">
        <v>0</v>
      </c>
      <c r="H49" s="220" t="s">
        <v>307</v>
      </c>
      <c r="I49" s="223" t="b">
        <v>0</v>
      </c>
      <c r="J49" s="220" t="s">
        <v>307</v>
      </c>
      <c r="K49" s="223" t="b">
        <v>0</v>
      </c>
      <c r="L49" s="220" t="s">
        <v>307</v>
      </c>
      <c r="M49" s="223" t="b">
        <v>0</v>
      </c>
      <c r="N49" s="220" t="s">
        <v>307</v>
      </c>
      <c r="O49" s="223" t="b">
        <v>0</v>
      </c>
      <c r="P49" s="224">
        <f t="shared" ref="P49:P50" si="4">COUNTIF(B49:O49,True)/COUNTA(B49:O49)%/50</f>
        <v>0</v>
      </c>
      <c r="Q49" s="225" t="s">
        <v>308</v>
      </c>
    </row>
    <row r="50">
      <c r="A50" s="49"/>
      <c r="B50" s="220" t="s">
        <v>309</v>
      </c>
      <c r="C50" s="221" t="b">
        <v>0</v>
      </c>
      <c r="D50" s="220" t="s">
        <v>309</v>
      </c>
      <c r="E50" s="221" t="b">
        <v>0</v>
      </c>
      <c r="F50" s="220" t="s">
        <v>309</v>
      </c>
      <c r="G50" s="223" t="b">
        <v>0</v>
      </c>
      <c r="H50" s="220" t="s">
        <v>309</v>
      </c>
      <c r="I50" s="223" t="b">
        <v>0</v>
      </c>
      <c r="J50" s="220" t="s">
        <v>309</v>
      </c>
      <c r="K50" s="223" t="b">
        <v>0</v>
      </c>
      <c r="L50" s="220" t="s">
        <v>309</v>
      </c>
      <c r="M50" s="223" t="b">
        <v>0</v>
      </c>
      <c r="N50" s="220" t="s">
        <v>309</v>
      </c>
      <c r="O50" s="223" t="b">
        <v>0</v>
      </c>
      <c r="P50" s="224">
        <f t="shared" si="4"/>
        <v>0</v>
      </c>
      <c r="Q50" s="3"/>
    </row>
    <row r="51">
      <c r="A51" s="49"/>
      <c r="B51" s="226" t="s">
        <v>310</v>
      </c>
      <c r="C51" s="227"/>
      <c r="D51" s="226" t="s">
        <v>310</v>
      </c>
      <c r="E51" s="227"/>
      <c r="F51" s="226" t="s">
        <v>310</v>
      </c>
      <c r="G51" s="227"/>
      <c r="H51" s="226" t="s">
        <v>310</v>
      </c>
      <c r="I51" s="227"/>
      <c r="J51" s="226" t="s">
        <v>310</v>
      </c>
      <c r="K51" s="227"/>
      <c r="L51" s="226" t="s">
        <v>310</v>
      </c>
      <c r="M51" s="227"/>
      <c r="N51" s="226" t="s">
        <v>310</v>
      </c>
      <c r="O51" s="227"/>
      <c r="P51" s="228">
        <f>COUNTIF(B51:O51,"Yes")</f>
        <v>0</v>
      </c>
      <c r="Q51" s="229" t="s">
        <v>311</v>
      </c>
    </row>
    <row r="52">
      <c r="A52" s="3"/>
      <c r="B52" s="230" t="s">
        <v>312</v>
      </c>
      <c r="C52" s="231"/>
      <c r="D52" s="230" t="s">
        <v>312</v>
      </c>
      <c r="E52" s="231"/>
      <c r="F52" s="230" t="s">
        <v>312</v>
      </c>
      <c r="G52" s="231"/>
      <c r="H52" s="230" t="s">
        <v>312</v>
      </c>
      <c r="I52" s="231"/>
      <c r="J52" s="230" t="s">
        <v>312</v>
      </c>
      <c r="K52" s="231"/>
      <c r="L52" s="230" t="s">
        <v>312</v>
      </c>
      <c r="M52" s="231"/>
      <c r="N52" s="230" t="s">
        <v>312</v>
      </c>
      <c r="O52" s="231"/>
      <c r="P52" s="232">
        <f>SUM(C52,E52,G52,I52,K52,M52,O52)/7</f>
        <v>0</v>
      </c>
      <c r="Q52" s="230" t="s">
        <v>313</v>
      </c>
    </row>
  </sheetData>
  <mergeCells count="139">
    <mergeCell ref="B18:C18"/>
    <mergeCell ref="B23:C23"/>
    <mergeCell ref="A47:A52"/>
    <mergeCell ref="B47:C47"/>
    <mergeCell ref="D47:E47"/>
    <mergeCell ref="B48:C48"/>
    <mergeCell ref="D48:E48"/>
    <mergeCell ref="A23:A28"/>
    <mergeCell ref="B24:C24"/>
    <mergeCell ref="A30:A34"/>
    <mergeCell ref="B30:C30"/>
    <mergeCell ref="A35:A40"/>
    <mergeCell ref="B35:C35"/>
    <mergeCell ref="D35:E35"/>
    <mergeCell ref="N18:O18"/>
    <mergeCell ref="P18:P22"/>
    <mergeCell ref="Q18:Q22"/>
    <mergeCell ref="H23:I23"/>
    <mergeCell ref="J23:K23"/>
    <mergeCell ref="N23:O23"/>
    <mergeCell ref="P23:Q23"/>
    <mergeCell ref="A18:A22"/>
    <mergeCell ref="D18:E18"/>
    <mergeCell ref="F18:G18"/>
    <mergeCell ref="H18:I18"/>
    <mergeCell ref="J18:K18"/>
    <mergeCell ref="L18:M18"/>
    <mergeCell ref="L23:M23"/>
    <mergeCell ref="D23:E23"/>
    <mergeCell ref="F23:G23"/>
    <mergeCell ref="D24:E24"/>
    <mergeCell ref="F24:G24"/>
    <mergeCell ref="H24:I24"/>
    <mergeCell ref="J24:K24"/>
    <mergeCell ref="L24:M24"/>
    <mergeCell ref="N30:O30"/>
    <mergeCell ref="A41:Q41"/>
    <mergeCell ref="N24:O24"/>
    <mergeCell ref="P24:Q24"/>
    <mergeCell ref="Q25:Q26"/>
    <mergeCell ref="A29:Q29"/>
    <mergeCell ref="D30:E30"/>
    <mergeCell ref="F30:G30"/>
    <mergeCell ref="H30:I30"/>
    <mergeCell ref="H48:I48"/>
    <mergeCell ref="J48:K48"/>
    <mergeCell ref="P48:Q48"/>
    <mergeCell ref="Q49:Q50"/>
    <mergeCell ref="F4:G4"/>
    <mergeCell ref="H4:I4"/>
    <mergeCell ref="D5:E5"/>
    <mergeCell ref="F5:G5"/>
    <mergeCell ref="D6:E6"/>
    <mergeCell ref="F6:G6"/>
    <mergeCell ref="D11:E11"/>
    <mergeCell ref="F11:G11"/>
    <mergeCell ref="H11:I11"/>
    <mergeCell ref="N12:O12"/>
    <mergeCell ref="P12:Q12"/>
    <mergeCell ref="J11:K11"/>
    <mergeCell ref="L11:M11"/>
    <mergeCell ref="N11:O11"/>
    <mergeCell ref="P11:Q11"/>
    <mergeCell ref="D12:E12"/>
    <mergeCell ref="F12:G12"/>
    <mergeCell ref="H12:I12"/>
    <mergeCell ref="D2:E3"/>
    <mergeCell ref="B4:C4"/>
    <mergeCell ref="D4:E4"/>
    <mergeCell ref="J4:K4"/>
    <mergeCell ref="L4:M4"/>
    <mergeCell ref="N4:O4"/>
    <mergeCell ref="P4:P5"/>
    <mergeCell ref="N5:O5"/>
    <mergeCell ref="N6:O6"/>
    <mergeCell ref="P6:P10"/>
    <mergeCell ref="Q6:Q10"/>
    <mergeCell ref="Q13:Q14"/>
    <mergeCell ref="H5:I5"/>
    <mergeCell ref="J5:K5"/>
    <mergeCell ref="H6:I6"/>
    <mergeCell ref="J6:K6"/>
    <mergeCell ref="L6:M6"/>
    <mergeCell ref="B1:G1"/>
    <mergeCell ref="H1:I3"/>
    <mergeCell ref="J1:O3"/>
    <mergeCell ref="P1:Q3"/>
    <mergeCell ref="F2:G2"/>
    <mergeCell ref="F3:G3"/>
    <mergeCell ref="Q4:Q5"/>
    <mergeCell ref="L5:M5"/>
    <mergeCell ref="J12:K12"/>
    <mergeCell ref="L12:M12"/>
    <mergeCell ref="A17:Q17"/>
    <mergeCell ref="A1:A5"/>
    <mergeCell ref="B5:C5"/>
    <mergeCell ref="A6:A10"/>
    <mergeCell ref="B6:C6"/>
    <mergeCell ref="A11:A16"/>
    <mergeCell ref="B11:C11"/>
    <mergeCell ref="B12:C12"/>
    <mergeCell ref="L35:M35"/>
    <mergeCell ref="N35:O35"/>
    <mergeCell ref="J30:K30"/>
    <mergeCell ref="L30:M30"/>
    <mergeCell ref="P30:P34"/>
    <mergeCell ref="Q30:Q34"/>
    <mergeCell ref="F35:G35"/>
    <mergeCell ref="H35:I35"/>
    <mergeCell ref="J35:K35"/>
    <mergeCell ref="P35:Q35"/>
    <mergeCell ref="P36:Q36"/>
    <mergeCell ref="Q37:Q38"/>
    <mergeCell ref="B36:C36"/>
    <mergeCell ref="D36:E36"/>
    <mergeCell ref="F36:G36"/>
    <mergeCell ref="H36:I36"/>
    <mergeCell ref="J36:K36"/>
    <mergeCell ref="L36:M36"/>
    <mergeCell ref="N36:O36"/>
    <mergeCell ref="N42:O42"/>
    <mergeCell ref="P42:P46"/>
    <mergeCell ref="Q42:Q46"/>
    <mergeCell ref="A42:A46"/>
    <mergeCell ref="B42:C42"/>
    <mergeCell ref="D42:E42"/>
    <mergeCell ref="F42:G42"/>
    <mergeCell ref="H42:I42"/>
    <mergeCell ref="J42:K42"/>
    <mergeCell ref="L42:M42"/>
    <mergeCell ref="L48:M48"/>
    <mergeCell ref="N48:O48"/>
    <mergeCell ref="F47:G47"/>
    <mergeCell ref="H47:I47"/>
    <mergeCell ref="J47:K47"/>
    <mergeCell ref="L47:M47"/>
    <mergeCell ref="N47:O47"/>
    <mergeCell ref="P47:Q47"/>
    <mergeCell ref="F48:G48"/>
  </mergeCells>
  <dataValidations>
    <dataValidation type="list" allowBlank="1" showErrorMessage="1" sqref="A11 A23 A35 A47">
      <formula1>"Don't Push/ Strict Paces,Focus on Recovery Don't Push,Focus HEAVILY on Rolling/ Stretching/ Recovery,Fuel Every Quality Session/ TRACK and see what works/ doesn't,Prep/Fuel Like Race Week,If you feel good; close last 10-20% of hard/ long workouts faster,S"&amp;"tay on Top of the Little Things / Be Ready to Push,Focus More on Strength,Last EASY (50%) Strength: Sat or Sun,Schedule Race Prep Call,Communicate Daily w/ Coach"</formula1>
    </dataValidation>
    <dataValidation type="list" allowBlank="1" showErrorMessage="1" sqref="C16 E16 G16 I16 K16 M16 O16 C28 E28 G28 I28 K28 M28 O28 C40 E40 G40 I40 K40 M40 O40 C52 E52 G52 I52 K52 M52 O52">
      <formula1>"1,2,3,4,5,6,7,8,9,10"</formula1>
    </dataValidation>
    <dataValidation type="list" allowBlank="1" showErrorMessage="1" sqref="A6 A18 A30 A42">
      <formula1>"REST WEEK,BUILD WEEK,PUSH WEEK,PEAK WEEK,RACE WEEK,INJURED,ILLNESS,RETURN WEEK,CROSS TRAINING,TRAVEL/ LIMITED WEEK"</formula1>
    </dataValidation>
    <dataValidation type="list" allowBlank="1" showErrorMessage="1" sqref="C15 E15 G15 I15 K15 M15 O15 C27 E27 G27 I27 K27 M27 O27 C39 E39 G39 I39 K39 M39 O39 C51 E51 G51 I51 K51 M51 O51">
      <formula1>"Yes,No"</formula1>
    </dataValidation>
  </dataValidations>
  <hyperlinks>
    <hyperlink r:id="rId1" ref="D2"/>
    <hyperlink r:id="rId2" ref="F2"/>
    <hyperlink r:id="rId3" ref="F3"/>
  </hyperlinks>
  <drawing r:id="rId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19.13"/>
    <col customWidth="1" min="4" max="4" width="18.38"/>
    <col customWidth="1" min="6" max="6" width="19.0"/>
    <col customWidth="1" min="8" max="8" width="18.5"/>
    <col customWidth="1" min="10" max="10" width="18.75"/>
    <col customWidth="1" min="12" max="12" width="18.25"/>
    <col customWidth="1" min="14" max="14" width="19.13"/>
    <col customWidth="1" min="17" max="17" width="14.88"/>
  </cols>
  <sheetData>
    <row r="1">
      <c r="A1" s="238" t="str">
        <f>November!A1</f>
        <v>STRAVA</v>
      </c>
      <c r="B1" s="243" t="s">
        <v>385</v>
      </c>
      <c r="C1" s="23"/>
      <c r="D1" s="23"/>
      <c r="E1" s="23"/>
      <c r="F1" s="23"/>
      <c r="G1" s="23"/>
      <c r="H1" s="191" t="s">
        <v>272</v>
      </c>
      <c r="I1" s="48"/>
      <c r="J1" s="192"/>
      <c r="K1" s="48"/>
      <c r="L1" s="48"/>
      <c r="M1" s="48"/>
      <c r="N1" s="48"/>
      <c r="O1" s="48"/>
      <c r="P1" s="193"/>
      <c r="Q1" s="42"/>
    </row>
    <row r="2">
      <c r="A2" s="49"/>
      <c r="B2" s="194" t="s">
        <v>274</v>
      </c>
      <c r="C2" s="244" t="str">
        <f>November!C2</f>
        <v>1.5 mile</v>
      </c>
      <c r="D2" s="196" t="s">
        <v>276</v>
      </c>
      <c r="E2" s="48"/>
      <c r="F2" s="197" t="s">
        <v>277</v>
      </c>
      <c r="G2" s="24"/>
      <c r="H2" s="50"/>
      <c r="P2" s="50"/>
      <c r="Q2" s="51"/>
    </row>
    <row r="3">
      <c r="A3" s="49"/>
      <c r="B3" s="198" t="s">
        <v>278</v>
      </c>
      <c r="C3" s="244" t="str">
        <f>November!C3</f>
        <v>1.5 mile</v>
      </c>
      <c r="D3" s="50"/>
      <c r="F3" s="199" t="s">
        <v>279</v>
      </c>
      <c r="G3" s="24"/>
      <c r="H3" s="50"/>
      <c r="P3" s="53"/>
      <c r="Q3" s="54"/>
    </row>
    <row r="4">
      <c r="A4" s="49"/>
      <c r="B4" s="200" t="s">
        <v>280</v>
      </c>
      <c r="C4" s="24"/>
      <c r="D4" s="201" t="s">
        <v>281</v>
      </c>
      <c r="E4" s="24"/>
      <c r="F4" s="201" t="s">
        <v>282</v>
      </c>
      <c r="G4" s="24"/>
      <c r="H4" s="201" t="s">
        <v>283</v>
      </c>
      <c r="I4" s="24"/>
      <c r="J4" s="201" t="s">
        <v>284</v>
      </c>
      <c r="K4" s="24"/>
      <c r="L4" s="201" t="s">
        <v>285</v>
      </c>
      <c r="M4" s="24"/>
      <c r="N4" s="201" t="s">
        <v>286</v>
      </c>
      <c r="O4" s="24"/>
      <c r="P4" s="202" t="s">
        <v>287</v>
      </c>
      <c r="Q4" s="202" t="s">
        <v>288</v>
      </c>
    </row>
    <row r="5">
      <c r="A5" s="3"/>
      <c r="B5" s="203" t="str">
        <f>November!B5</f>
        <v>EASY RUN</v>
      </c>
      <c r="C5" s="24"/>
      <c r="D5" s="203" t="str">
        <f>November!D5</f>
        <v>HARD WORKOUT
&amp; STRENGTH</v>
      </c>
      <c r="E5" s="24"/>
      <c r="F5" s="203" t="str">
        <f>November!F5</f>
        <v>EASY RUN</v>
      </c>
      <c r="G5" s="24"/>
      <c r="H5" s="203" t="str">
        <f>November!H5</f>
        <v>HARD WORKOUT
&amp; STRENGTH</v>
      </c>
      <c r="I5" s="24"/>
      <c r="J5" s="203" t="str">
        <f>November!J5</f>
        <v>REST</v>
      </c>
      <c r="K5" s="24"/>
      <c r="L5" s="203" t="str">
        <f>November!L5</f>
        <v>LONG RUN</v>
      </c>
      <c r="M5" s="24"/>
      <c r="N5" s="239" t="str">
        <f>November!N5</f>
        <v>REST OR EASY RUN</v>
      </c>
      <c r="O5" s="24"/>
      <c r="P5" s="54"/>
      <c r="Q5" s="54"/>
    </row>
    <row r="6">
      <c r="A6" s="204"/>
      <c r="B6" s="240">
        <v>46356.0</v>
      </c>
      <c r="C6" s="24"/>
      <c r="D6" s="240">
        <v>46357.0</v>
      </c>
      <c r="E6" s="24"/>
      <c r="F6" s="240">
        <v>46358.0</v>
      </c>
      <c r="G6" s="24"/>
      <c r="H6" s="240">
        <v>46359.0</v>
      </c>
      <c r="I6" s="24"/>
      <c r="J6" s="240">
        <v>46360.0</v>
      </c>
      <c r="K6" s="24"/>
      <c r="L6" s="240">
        <v>46361.0</v>
      </c>
      <c r="M6" s="24"/>
      <c r="N6" s="240">
        <v>46362.0</v>
      </c>
      <c r="O6" s="24"/>
      <c r="P6" s="206">
        <f>SUM(B7,D7,F7,H7,J7,L7,N7)</f>
        <v>0</v>
      </c>
      <c r="Q6" s="207"/>
    </row>
    <row r="7">
      <c r="A7" s="49"/>
      <c r="B7" s="210"/>
      <c r="C7" s="209" t="s">
        <v>295</v>
      </c>
      <c r="D7" s="210"/>
      <c r="E7" s="209" t="s">
        <v>295</v>
      </c>
      <c r="F7" s="210"/>
      <c r="G7" s="209" t="s">
        <v>295</v>
      </c>
      <c r="H7" s="210"/>
      <c r="I7" s="209" t="s">
        <v>295</v>
      </c>
      <c r="J7" s="210"/>
      <c r="K7" s="209" t="s">
        <v>295</v>
      </c>
      <c r="L7" s="210"/>
      <c r="M7" s="209" t="s">
        <v>295</v>
      </c>
      <c r="N7" s="210"/>
      <c r="O7" s="209" t="s">
        <v>295</v>
      </c>
      <c r="P7" s="49"/>
      <c r="Q7" s="49"/>
    </row>
    <row r="8">
      <c r="A8" s="49"/>
      <c r="B8" s="213"/>
      <c r="C8" s="212"/>
      <c r="D8" s="213"/>
      <c r="E8" s="212"/>
      <c r="F8" s="213"/>
      <c r="G8" s="212"/>
      <c r="H8" s="213"/>
      <c r="I8" s="212"/>
      <c r="J8" s="213"/>
      <c r="K8" s="212"/>
      <c r="L8" s="213"/>
      <c r="M8" s="212"/>
      <c r="N8" s="213"/>
      <c r="O8" s="212"/>
      <c r="P8" s="49"/>
      <c r="Q8" s="49"/>
    </row>
    <row r="9">
      <c r="A9" s="49"/>
      <c r="B9" s="209" t="s">
        <v>302</v>
      </c>
      <c r="C9" s="209" t="s">
        <v>303</v>
      </c>
      <c r="D9" s="209" t="s">
        <v>302</v>
      </c>
      <c r="E9" s="209" t="s">
        <v>303</v>
      </c>
      <c r="F9" s="209" t="s">
        <v>302</v>
      </c>
      <c r="G9" s="209" t="s">
        <v>303</v>
      </c>
      <c r="H9" s="209" t="s">
        <v>302</v>
      </c>
      <c r="I9" s="209" t="s">
        <v>303</v>
      </c>
      <c r="J9" s="209" t="s">
        <v>302</v>
      </c>
      <c r="K9" s="209" t="s">
        <v>303</v>
      </c>
      <c r="L9" s="209" t="s">
        <v>302</v>
      </c>
      <c r="M9" s="209" t="s">
        <v>303</v>
      </c>
      <c r="N9" s="209" t="s">
        <v>302</v>
      </c>
      <c r="O9" s="209" t="s">
        <v>303</v>
      </c>
      <c r="P9" s="49"/>
      <c r="Q9" s="49"/>
    </row>
    <row r="10">
      <c r="A10" s="49"/>
      <c r="B10" s="214"/>
      <c r="C10" s="214"/>
      <c r="D10" s="214"/>
      <c r="E10" s="214"/>
      <c r="F10" s="214"/>
      <c r="G10" s="214"/>
      <c r="H10" s="214"/>
      <c r="I10" s="214"/>
      <c r="J10" s="214"/>
      <c r="K10" s="214"/>
      <c r="L10" s="214"/>
      <c r="M10" s="215"/>
      <c r="N10" s="214"/>
      <c r="O10" s="214"/>
      <c r="P10" s="3"/>
      <c r="Q10" s="3"/>
    </row>
    <row r="11">
      <c r="A11" s="216"/>
      <c r="B11" s="217" t="s">
        <v>305</v>
      </c>
      <c r="C11" s="24"/>
      <c r="D11" s="217" t="s">
        <v>305</v>
      </c>
      <c r="E11" s="24"/>
      <c r="F11" s="217" t="s">
        <v>305</v>
      </c>
      <c r="G11" s="24"/>
      <c r="H11" s="217" t="s">
        <v>305</v>
      </c>
      <c r="I11" s="24"/>
      <c r="J11" s="217" t="s">
        <v>305</v>
      </c>
      <c r="K11" s="24"/>
      <c r="L11" s="217" t="s">
        <v>305</v>
      </c>
      <c r="M11" s="24"/>
      <c r="N11" s="217" t="s">
        <v>305</v>
      </c>
      <c r="O11" s="24"/>
      <c r="P11" s="218" t="s">
        <v>306</v>
      </c>
      <c r="Q11" s="24"/>
    </row>
    <row r="12">
      <c r="A12" s="49"/>
      <c r="B12" s="219"/>
      <c r="C12" s="24"/>
      <c r="D12" s="219"/>
      <c r="E12" s="24"/>
      <c r="F12" s="219"/>
      <c r="G12" s="24"/>
      <c r="H12" s="219"/>
      <c r="I12" s="24"/>
      <c r="J12" s="219"/>
      <c r="K12" s="24"/>
      <c r="L12" s="219"/>
      <c r="M12" s="24"/>
      <c r="N12" s="219"/>
      <c r="O12" s="24"/>
      <c r="P12" s="219"/>
      <c r="Q12" s="24"/>
    </row>
    <row r="13">
      <c r="A13" s="49"/>
      <c r="B13" s="220" t="s">
        <v>307</v>
      </c>
      <c r="C13" s="221" t="b">
        <v>0</v>
      </c>
      <c r="D13" s="220" t="s">
        <v>307</v>
      </c>
      <c r="E13" s="223" t="b">
        <v>0</v>
      </c>
      <c r="F13" s="220" t="s">
        <v>307</v>
      </c>
      <c r="G13" s="223" t="b">
        <v>0</v>
      </c>
      <c r="H13" s="220" t="s">
        <v>307</v>
      </c>
      <c r="I13" s="223" t="b">
        <v>0</v>
      </c>
      <c r="J13" s="220" t="s">
        <v>307</v>
      </c>
      <c r="K13" s="223" t="b">
        <v>0</v>
      </c>
      <c r="L13" s="220" t="s">
        <v>307</v>
      </c>
      <c r="M13" s="223" t="b">
        <v>0</v>
      </c>
      <c r="N13" s="220" t="s">
        <v>307</v>
      </c>
      <c r="O13" s="223" t="b">
        <v>0</v>
      </c>
      <c r="P13" s="224">
        <f t="shared" ref="P13:P14" si="1">COUNTIF(B13:O13,True)/COUNTA(B13:O13)%/50</f>
        <v>0</v>
      </c>
      <c r="Q13" s="225" t="s">
        <v>308</v>
      </c>
    </row>
    <row r="14">
      <c r="A14" s="49"/>
      <c r="B14" s="220" t="s">
        <v>309</v>
      </c>
      <c r="C14" s="221" t="b">
        <v>0</v>
      </c>
      <c r="D14" s="220" t="s">
        <v>309</v>
      </c>
      <c r="E14" s="221" t="b">
        <v>0</v>
      </c>
      <c r="F14" s="220" t="s">
        <v>309</v>
      </c>
      <c r="G14" s="223" t="b">
        <v>0</v>
      </c>
      <c r="H14" s="220" t="s">
        <v>309</v>
      </c>
      <c r="I14" s="223" t="b">
        <v>0</v>
      </c>
      <c r="J14" s="220" t="s">
        <v>309</v>
      </c>
      <c r="K14" s="223" t="b">
        <v>0</v>
      </c>
      <c r="L14" s="220" t="s">
        <v>309</v>
      </c>
      <c r="M14" s="223" t="b">
        <v>0</v>
      </c>
      <c r="N14" s="220" t="s">
        <v>309</v>
      </c>
      <c r="O14" s="223" t="b">
        <v>0</v>
      </c>
      <c r="P14" s="224">
        <f t="shared" si="1"/>
        <v>0</v>
      </c>
      <c r="Q14" s="3"/>
    </row>
    <row r="15">
      <c r="A15" s="49"/>
      <c r="B15" s="226" t="s">
        <v>310</v>
      </c>
      <c r="C15" s="227"/>
      <c r="D15" s="226" t="s">
        <v>310</v>
      </c>
      <c r="E15" s="227"/>
      <c r="F15" s="226" t="s">
        <v>310</v>
      </c>
      <c r="G15" s="227"/>
      <c r="H15" s="226" t="s">
        <v>310</v>
      </c>
      <c r="I15" s="227"/>
      <c r="J15" s="226" t="s">
        <v>310</v>
      </c>
      <c r="K15" s="227"/>
      <c r="L15" s="226" t="s">
        <v>310</v>
      </c>
      <c r="M15" s="227"/>
      <c r="N15" s="226" t="s">
        <v>310</v>
      </c>
      <c r="O15" s="227"/>
      <c r="P15" s="228">
        <f>COUNTIF(B15:O15,"Yes")</f>
        <v>0</v>
      </c>
      <c r="Q15" s="229" t="s">
        <v>311</v>
      </c>
    </row>
    <row r="16">
      <c r="A16" s="3"/>
      <c r="B16" s="230" t="s">
        <v>312</v>
      </c>
      <c r="C16" s="231"/>
      <c r="D16" s="230" t="s">
        <v>312</v>
      </c>
      <c r="E16" s="231"/>
      <c r="F16" s="230" t="s">
        <v>312</v>
      </c>
      <c r="G16" s="231"/>
      <c r="H16" s="230" t="s">
        <v>312</v>
      </c>
      <c r="I16" s="231"/>
      <c r="J16" s="230" t="s">
        <v>312</v>
      </c>
      <c r="K16" s="231"/>
      <c r="L16" s="230" t="s">
        <v>312</v>
      </c>
      <c r="M16" s="231"/>
      <c r="N16" s="230" t="s">
        <v>312</v>
      </c>
      <c r="O16" s="231"/>
      <c r="P16" s="232">
        <f>SUM(C16,E16,G16,I16,K16,M16,O16)/7</f>
        <v>0</v>
      </c>
      <c r="Q16" s="230" t="s">
        <v>313</v>
      </c>
    </row>
    <row r="17" ht="10.5" customHeight="1">
      <c r="A17" s="233"/>
      <c r="B17" s="55"/>
      <c r="C17" s="55"/>
      <c r="D17" s="55"/>
      <c r="E17" s="55"/>
      <c r="F17" s="55"/>
      <c r="G17" s="55"/>
      <c r="H17" s="55"/>
      <c r="I17" s="55"/>
      <c r="J17" s="55"/>
      <c r="K17" s="55"/>
      <c r="L17" s="55"/>
      <c r="M17" s="55"/>
      <c r="N17" s="55"/>
      <c r="O17" s="55"/>
      <c r="P17" s="55"/>
      <c r="Q17" s="54"/>
    </row>
    <row r="18">
      <c r="A18" s="204"/>
      <c r="B18" s="240">
        <v>46363.0</v>
      </c>
      <c r="C18" s="24"/>
      <c r="D18" s="240">
        <v>46364.0</v>
      </c>
      <c r="E18" s="24"/>
      <c r="F18" s="240">
        <v>46365.0</v>
      </c>
      <c r="G18" s="24"/>
      <c r="H18" s="240">
        <v>46366.0</v>
      </c>
      <c r="I18" s="24"/>
      <c r="J18" s="240">
        <v>46367.0</v>
      </c>
      <c r="K18" s="24"/>
      <c r="L18" s="240">
        <v>46368.0</v>
      </c>
      <c r="M18" s="24"/>
      <c r="N18" s="240">
        <v>46369.0</v>
      </c>
      <c r="O18" s="24"/>
      <c r="P18" s="206">
        <f>SUM(B19,D19,F19,H19,J19,L19,N19)</f>
        <v>0</v>
      </c>
      <c r="Q18" s="207"/>
    </row>
    <row r="19">
      <c r="A19" s="49"/>
      <c r="B19" s="210"/>
      <c r="C19" s="209" t="s">
        <v>295</v>
      </c>
      <c r="D19" s="210"/>
      <c r="E19" s="209" t="s">
        <v>295</v>
      </c>
      <c r="F19" s="210"/>
      <c r="G19" s="209" t="s">
        <v>295</v>
      </c>
      <c r="H19" s="210"/>
      <c r="I19" s="209" t="s">
        <v>295</v>
      </c>
      <c r="J19" s="210"/>
      <c r="K19" s="209" t="s">
        <v>295</v>
      </c>
      <c r="L19" s="210"/>
      <c r="M19" s="209" t="s">
        <v>295</v>
      </c>
      <c r="N19" s="210"/>
      <c r="O19" s="209" t="s">
        <v>295</v>
      </c>
      <c r="P19" s="49"/>
      <c r="Q19" s="49"/>
    </row>
    <row r="20">
      <c r="A20" s="49"/>
      <c r="B20" s="213"/>
      <c r="C20" s="212"/>
      <c r="D20" s="213"/>
      <c r="E20" s="212"/>
      <c r="F20" s="213"/>
      <c r="G20" s="212"/>
      <c r="H20" s="213"/>
      <c r="I20" s="212"/>
      <c r="J20" s="213"/>
      <c r="K20" s="212"/>
      <c r="L20" s="213"/>
      <c r="M20" s="212"/>
      <c r="N20" s="213"/>
      <c r="O20" s="212"/>
      <c r="P20" s="49"/>
      <c r="Q20" s="49"/>
    </row>
    <row r="21">
      <c r="A21" s="49"/>
      <c r="B21" s="209" t="s">
        <v>302</v>
      </c>
      <c r="C21" s="209" t="s">
        <v>303</v>
      </c>
      <c r="D21" s="209" t="s">
        <v>302</v>
      </c>
      <c r="E21" s="209" t="s">
        <v>303</v>
      </c>
      <c r="F21" s="209" t="s">
        <v>302</v>
      </c>
      <c r="G21" s="209" t="s">
        <v>303</v>
      </c>
      <c r="H21" s="209" t="s">
        <v>302</v>
      </c>
      <c r="I21" s="209" t="s">
        <v>303</v>
      </c>
      <c r="J21" s="209" t="s">
        <v>302</v>
      </c>
      <c r="K21" s="209" t="s">
        <v>303</v>
      </c>
      <c r="L21" s="209" t="s">
        <v>302</v>
      </c>
      <c r="M21" s="209" t="s">
        <v>303</v>
      </c>
      <c r="N21" s="209" t="s">
        <v>302</v>
      </c>
      <c r="O21" s="209" t="s">
        <v>303</v>
      </c>
      <c r="P21" s="49"/>
      <c r="Q21" s="49"/>
    </row>
    <row r="22">
      <c r="A22" s="49"/>
      <c r="B22" s="214"/>
      <c r="C22" s="214"/>
      <c r="D22" s="214"/>
      <c r="E22" s="214"/>
      <c r="F22" s="214"/>
      <c r="G22" s="214"/>
      <c r="H22" s="214"/>
      <c r="I22" s="214"/>
      <c r="J22" s="214"/>
      <c r="K22" s="214"/>
      <c r="L22" s="214"/>
      <c r="M22" s="215"/>
      <c r="N22" s="214"/>
      <c r="O22" s="214"/>
      <c r="P22" s="3"/>
      <c r="Q22" s="3"/>
    </row>
    <row r="23">
      <c r="A23" s="216"/>
      <c r="B23" s="217" t="s">
        <v>305</v>
      </c>
      <c r="C23" s="24"/>
      <c r="D23" s="217" t="s">
        <v>305</v>
      </c>
      <c r="E23" s="24"/>
      <c r="F23" s="217" t="s">
        <v>305</v>
      </c>
      <c r="G23" s="24"/>
      <c r="H23" s="217" t="s">
        <v>305</v>
      </c>
      <c r="I23" s="24"/>
      <c r="J23" s="217" t="s">
        <v>305</v>
      </c>
      <c r="K23" s="24"/>
      <c r="L23" s="217" t="s">
        <v>305</v>
      </c>
      <c r="M23" s="24"/>
      <c r="N23" s="217" t="s">
        <v>305</v>
      </c>
      <c r="O23" s="24"/>
      <c r="P23" s="218" t="s">
        <v>306</v>
      </c>
      <c r="Q23" s="24"/>
    </row>
    <row r="24">
      <c r="A24" s="49"/>
      <c r="B24" s="219"/>
      <c r="C24" s="24"/>
      <c r="D24" s="219"/>
      <c r="E24" s="24"/>
      <c r="F24" s="219"/>
      <c r="G24" s="24"/>
      <c r="H24" s="219"/>
      <c r="I24" s="24"/>
      <c r="J24" s="219"/>
      <c r="K24" s="24"/>
      <c r="L24" s="219"/>
      <c r="M24" s="24"/>
      <c r="N24" s="219"/>
      <c r="O24" s="24"/>
      <c r="P24" s="219"/>
      <c r="Q24" s="24"/>
    </row>
    <row r="25">
      <c r="A25" s="49"/>
      <c r="B25" s="220" t="s">
        <v>307</v>
      </c>
      <c r="C25" s="221" t="b">
        <v>0</v>
      </c>
      <c r="D25" s="220" t="s">
        <v>307</v>
      </c>
      <c r="E25" s="223" t="b">
        <v>0</v>
      </c>
      <c r="F25" s="220" t="s">
        <v>307</v>
      </c>
      <c r="G25" s="223" t="b">
        <v>0</v>
      </c>
      <c r="H25" s="220" t="s">
        <v>307</v>
      </c>
      <c r="I25" s="223" t="b">
        <v>0</v>
      </c>
      <c r="J25" s="220" t="s">
        <v>307</v>
      </c>
      <c r="K25" s="223" t="b">
        <v>0</v>
      </c>
      <c r="L25" s="220" t="s">
        <v>307</v>
      </c>
      <c r="M25" s="223" t="b">
        <v>0</v>
      </c>
      <c r="N25" s="220" t="s">
        <v>307</v>
      </c>
      <c r="O25" s="223" t="b">
        <v>0</v>
      </c>
      <c r="P25" s="224">
        <f t="shared" ref="P25:P26" si="2">COUNTIF(B25:O25,True)/COUNTA(B25:O25)%/50</f>
        <v>0</v>
      </c>
      <c r="Q25" s="225" t="s">
        <v>308</v>
      </c>
    </row>
    <row r="26">
      <c r="A26" s="49"/>
      <c r="B26" s="220" t="s">
        <v>309</v>
      </c>
      <c r="C26" s="221" t="b">
        <v>0</v>
      </c>
      <c r="D26" s="220" t="s">
        <v>309</v>
      </c>
      <c r="E26" s="221" t="b">
        <v>0</v>
      </c>
      <c r="F26" s="220" t="s">
        <v>309</v>
      </c>
      <c r="G26" s="223" t="b">
        <v>0</v>
      </c>
      <c r="H26" s="220" t="s">
        <v>309</v>
      </c>
      <c r="I26" s="223" t="b">
        <v>0</v>
      </c>
      <c r="J26" s="220" t="s">
        <v>309</v>
      </c>
      <c r="K26" s="223" t="b">
        <v>0</v>
      </c>
      <c r="L26" s="220" t="s">
        <v>309</v>
      </c>
      <c r="M26" s="223" t="b">
        <v>0</v>
      </c>
      <c r="N26" s="220" t="s">
        <v>309</v>
      </c>
      <c r="O26" s="223" t="b">
        <v>0</v>
      </c>
      <c r="P26" s="224">
        <f t="shared" si="2"/>
        <v>0</v>
      </c>
      <c r="Q26" s="3"/>
    </row>
    <row r="27">
      <c r="A27" s="49"/>
      <c r="B27" s="226" t="s">
        <v>310</v>
      </c>
      <c r="C27" s="227"/>
      <c r="D27" s="226" t="s">
        <v>310</v>
      </c>
      <c r="E27" s="227"/>
      <c r="F27" s="226" t="s">
        <v>310</v>
      </c>
      <c r="G27" s="227"/>
      <c r="H27" s="226" t="s">
        <v>310</v>
      </c>
      <c r="I27" s="227"/>
      <c r="J27" s="226" t="s">
        <v>310</v>
      </c>
      <c r="K27" s="227"/>
      <c r="L27" s="226" t="s">
        <v>310</v>
      </c>
      <c r="M27" s="227"/>
      <c r="N27" s="226" t="s">
        <v>310</v>
      </c>
      <c r="O27" s="227"/>
      <c r="P27" s="228">
        <f>COUNTIF(B27:O27,"Yes")</f>
        <v>0</v>
      </c>
      <c r="Q27" s="229" t="s">
        <v>311</v>
      </c>
    </row>
    <row r="28">
      <c r="A28" s="3"/>
      <c r="B28" s="230" t="s">
        <v>312</v>
      </c>
      <c r="C28" s="231"/>
      <c r="D28" s="230" t="s">
        <v>312</v>
      </c>
      <c r="E28" s="231"/>
      <c r="F28" s="230" t="s">
        <v>312</v>
      </c>
      <c r="G28" s="231"/>
      <c r="H28" s="230" t="s">
        <v>312</v>
      </c>
      <c r="I28" s="231"/>
      <c r="J28" s="230" t="s">
        <v>312</v>
      </c>
      <c r="K28" s="231"/>
      <c r="L28" s="230" t="s">
        <v>312</v>
      </c>
      <c r="M28" s="231"/>
      <c r="N28" s="230" t="s">
        <v>312</v>
      </c>
      <c r="O28" s="231"/>
      <c r="P28" s="232">
        <f>SUM(C28,E28,G28,I28,K28,M28,O28)/7</f>
        <v>0</v>
      </c>
      <c r="Q28" s="230" t="s">
        <v>313</v>
      </c>
    </row>
    <row r="29" ht="10.5" customHeight="1">
      <c r="A29" s="233"/>
      <c r="B29" s="55"/>
      <c r="C29" s="55"/>
      <c r="D29" s="55"/>
      <c r="E29" s="55"/>
      <c r="F29" s="55"/>
      <c r="G29" s="55"/>
      <c r="H29" s="55"/>
      <c r="I29" s="55"/>
      <c r="J29" s="55"/>
      <c r="K29" s="55"/>
      <c r="L29" s="55"/>
      <c r="M29" s="55"/>
      <c r="N29" s="55"/>
      <c r="O29" s="55"/>
      <c r="P29" s="55"/>
      <c r="Q29" s="54"/>
    </row>
    <row r="30">
      <c r="A30" s="204"/>
      <c r="B30" s="240">
        <v>46370.0</v>
      </c>
      <c r="C30" s="24"/>
      <c r="D30" s="240">
        <v>46371.0</v>
      </c>
      <c r="E30" s="24"/>
      <c r="F30" s="240">
        <v>46372.0</v>
      </c>
      <c r="G30" s="24"/>
      <c r="H30" s="240">
        <v>46373.0</v>
      </c>
      <c r="I30" s="24"/>
      <c r="J30" s="240">
        <v>46374.0</v>
      </c>
      <c r="K30" s="24"/>
      <c r="L30" s="240">
        <v>46375.0</v>
      </c>
      <c r="M30" s="24"/>
      <c r="N30" s="240">
        <v>46376.0</v>
      </c>
      <c r="O30" s="24"/>
      <c r="P30" s="206">
        <f>SUM(B31,D31,F31,H31,J31,L31,N31)</f>
        <v>0</v>
      </c>
      <c r="Q30" s="207"/>
    </row>
    <row r="31">
      <c r="A31" s="49"/>
      <c r="B31" s="210"/>
      <c r="C31" s="209" t="s">
        <v>295</v>
      </c>
      <c r="D31" s="210"/>
      <c r="E31" s="209" t="s">
        <v>295</v>
      </c>
      <c r="F31" s="210"/>
      <c r="G31" s="209" t="s">
        <v>295</v>
      </c>
      <c r="H31" s="210"/>
      <c r="I31" s="209" t="s">
        <v>295</v>
      </c>
      <c r="J31" s="210"/>
      <c r="K31" s="209" t="s">
        <v>295</v>
      </c>
      <c r="L31" s="210"/>
      <c r="M31" s="209" t="s">
        <v>295</v>
      </c>
      <c r="N31" s="210"/>
      <c r="O31" s="209" t="s">
        <v>295</v>
      </c>
      <c r="P31" s="49"/>
      <c r="Q31" s="49"/>
    </row>
    <row r="32">
      <c r="A32" s="49"/>
      <c r="B32" s="213"/>
      <c r="C32" s="212"/>
      <c r="D32" s="213"/>
      <c r="E32" s="212"/>
      <c r="F32" s="213"/>
      <c r="G32" s="212"/>
      <c r="H32" s="213"/>
      <c r="I32" s="212"/>
      <c r="J32" s="213"/>
      <c r="K32" s="212"/>
      <c r="L32" s="213"/>
      <c r="M32" s="212"/>
      <c r="N32" s="213"/>
      <c r="O32" s="212"/>
      <c r="P32" s="49"/>
      <c r="Q32" s="49"/>
    </row>
    <row r="33">
      <c r="A33" s="49"/>
      <c r="B33" s="209" t="s">
        <v>302</v>
      </c>
      <c r="C33" s="209" t="s">
        <v>303</v>
      </c>
      <c r="D33" s="209" t="s">
        <v>302</v>
      </c>
      <c r="E33" s="209" t="s">
        <v>303</v>
      </c>
      <c r="F33" s="209" t="s">
        <v>302</v>
      </c>
      <c r="G33" s="209" t="s">
        <v>303</v>
      </c>
      <c r="H33" s="209" t="s">
        <v>302</v>
      </c>
      <c r="I33" s="209" t="s">
        <v>303</v>
      </c>
      <c r="J33" s="209" t="s">
        <v>302</v>
      </c>
      <c r="K33" s="209" t="s">
        <v>303</v>
      </c>
      <c r="L33" s="209" t="s">
        <v>302</v>
      </c>
      <c r="M33" s="209" t="s">
        <v>303</v>
      </c>
      <c r="N33" s="209" t="s">
        <v>302</v>
      </c>
      <c r="O33" s="209" t="s">
        <v>303</v>
      </c>
      <c r="P33" s="49"/>
      <c r="Q33" s="49"/>
    </row>
    <row r="34">
      <c r="A34" s="49"/>
      <c r="B34" s="214"/>
      <c r="C34" s="214"/>
      <c r="D34" s="214"/>
      <c r="E34" s="214"/>
      <c r="F34" s="214"/>
      <c r="G34" s="214"/>
      <c r="H34" s="214"/>
      <c r="I34" s="214"/>
      <c r="J34" s="214"/>
      <c r="K34" s="214"/>
      <c r="L34" s="214"/>
      <c r="M34" s="215"/>
      <c r="N34" s="214"/>
      <c r="O34" s="214"/>
      <c r="P34" s="3"/>
      <c r="Q34" s="3"/>
    </row>
    <row r="35">
      <c r="A35" s="216"/>
      <c r="B35" s="217" t="s">
        <v>305</v>
      </c>
      <c r="C35" s="24"/>
      <c r="D35" s="217" t="s">
        <v>305</v>
      </c>
      <c r="E35" s="24"/>
      <c r="F35" s="217" t="s">
        <v>305</v>
      </c>
      <c r="G35" s="24"/>
      <c r="H35" s="217" t="s">
        <v>305</v>
      </c>
      <c r="I35" s="24"/>
      <c r="J35" s="217" t="s">
        <v>305</v>
      </c>
      <c r="K35" s="24"/>
      <c r="L35" s="217" t="s">
        <v>305</v>
      </c>
      <c r="M35" s="24"/>
      <c r="N35" s="217" t="s">
        <v>305</v>
      </c>
      <c r="O35" s="24"/>
      <c r="P35" s="218" t="s">
        <v>306</v>
      </c>
      <c r="Q35" s="24"/>
    </row>
    <row r="36">
      <c r="A36" s="49"/>
      <c r="B36" s="219"/>
      <c r="C36" s="24"/>
      <c r="D36" s="219"/>
      <c r="E36" s="24"/>
      <c r="F36" s="219"/>
      <c r="G36" s="24"/>
      <c r="H36" s="219"/>
      <c r="I36" s="24"/>
      <c r="J36" s="219"/>
      <c r="K36" s="24"/>
      <c r="L36" s="219"/>
      <c r="M36" s="24"/>
      <c r="N36" s="219"/>
      <c r="O36" s="24"/>
      <c r="P36" s="219"/>
      <c r="Q36" s="24"/>
    </row>
    <row r="37">
      <c r="A37" s="49"/>
      <c r="B37" s="220" t="s">
        <v>307</v>
      </c>
      <c r="C37" s="221" t="b">
        <v>0</v>
      </c>
      <c r="D37" s="220" t="s">
        <v>307</v>
      </c>
      <c r="E37" s="223" t="b">
        <v>0</v>
      </c>
      <c r="F37" s="220" t="s">
        <v>307</v>
      </c>
      <c r="G37" s="223" t="b">
        <v>0</v>
      </c>
      <c r="H37" s="220" t="s">
        <v>307</v>
      </c>
      <c r="I37" s="223" t="b">
        <v>0</v>
      </c>
      <c r="J37" s="220" t="s">
        <v>307</v>
      </c>
      <c r="K37" s="223" t="b">
        <v>0</v>
      </c>
      <c r="L37" s="220" t="s">
        <v>307</v>
      </c>
      <c r="M37" s="223" t="b">
        <v>0</v>
      </c>
      <c r="N37" s="220" t="s">
        <v>307</v>
      </c>
      <c r="O37" s="223" t="b">
        <v>0</v>
      </c>
      <c r="P37" s="224">
        <f t="shared" ref="P37:P38" si="3">COUNTIF(B37:O37,True)/COUNTA(B37:O37)%/50</f>
        <v>0</v>
      </c>
      <c r="Q37" s="225" t="s">
        <v>308</v>
      </c>
    </row>
    <row r="38">
      <c r="A38" s="49"/>
      <c r="B38" s="220" t="s">
        <v>309</v>
      </c>
      <c r="C38" s="221" t="b">
        <v>0</v>
      </c>
      <c r="D38" s="220" t="s">
        <v>309</v>
      </c>
      <c r="E38" s="221" t="b">
        <v>0</v>
      </c>
      <c r="F38" s="220" t="s">
        <v>309</v>
      </c>
      <c r="G38" s="223" t="b">
        <v>0</v>
      </c>
      <c r="H38" s="220" t="s">
        <v>309</v>
      </c>
      <c r="I38" s="223" t="b">
        <v>0</v>
      </c>
      <c r="J38" s="220" t="s">
        <v>309</v>
      </c>
      <c r="K38" s="223" t="b">
        <v>0</v>
      </c>
      <c r="L38" s="220" t="s">
        <v>309</v>
      </c>
      <c r="M38" s="223" t="b">
        <v>0</v>
      </c>
      <c r="N38" s="220" t="s">
        <v>309</v>
      </c>
      <c r="O38" s="223" t="b">
        <v>0</v>
      </c>
      <c r="P38" s="224">
        <f t="shared" si="3"/>
        <v>0</v>
      </c>
      <c r="Q38" s="3"/>
    </row>
    <row r="39">
      <c r="A39" s="49"/>
      <c r="B39" s="226" t="s">
        <v>310</v>
      </c>
      <c r="C39" s="227"/>
      <c r="D39" s="226" t="s">
        <v>310</v>
      </c>
      <c r="E39" s="227"/>
      <c r="F39" s="226" t="s">
        <v>310</v>
      </c>
      <c r="G39" s="227"/>
      <c r="H39" s="226" t="s">
        <v>310</v>
      </c>
      <c r="I39" s="227"/>
      <c r="J39" s="226" t="s">
        <v>310</v>
      </c>
      <c r="K39" s="227"/>
      <c r="L39" s="226" t="s">
        <v>310</v>
      </c>
      <c r="M39" s="227"/>
      <c r="N39" s="226" t="s">
        <v>310</v>
      </c>
      <c r="O39" s="227"/>
      <c r="P39" s="228">
        <f>COUNTIF(B39:O39,"Yes")</f>
        <v>0</v>
      </c>
      <c r="Q39" s="229" t="s">
        <v>311</v>
      </c>
    </row>
    <row r="40">
      <c r="A40" s="3"/>
      <c r="B40" s="230" t="s">
        <v>312</v>
      </c>
      <c r="C40" s="231"/>
      <c r="D40" s="230" t="s">
        <v>312</v>
      </c>
      <c r="E40" s="231"/>
      <c r="F40" s="230" t="s">
        <v>312</v>
      </c>
      <c r="G40" s="231"/>
      <c r="H40" s="230" t="s">
        <v>312</v>
      </c>
      <c r="I40" s="231"/>
      <c r="J40" s="230" t="s">
        <v>312</v>
      </c>
      <c r="K40" s="231"/>
      <c r="L40" s="230" t="s">
        <v>312</v>
      </c>
      <c r="M40" s="231"/>
      <c r="N40" s="230" t="s">
        <v>312</v>
      </c>
      <c r="O40" s="231"/>
      <c r="P40" s="232">
        <f>SUM(C40,E40,G40,I40,K40,M40,O40)/7</f>
        <v>0</v>
      </c>
      <c r="Q40" s="230" t="s">
        <v>313</v>
      </c>
    </row>
    <row r="41" ht="10.5" customHeight="1">
      <c r="A41" s="233"/>
      <c r="B41" s="55"/>
      <c r="C41" s="55"/>
      <c r="D41" s="55"/>
      <c r="E41" s="55"/>
      <c r="F41" s="55"/>
      <c r="G41" s="55"/>
      <c r="H41" s="55"/>
      <c r="I41" s="55"/>
      <c r="J41" s="55"/>
      <c r="K41" s="55"/>
      <c r="L41" s="55"/>
      <c r="M41" s="55"/>
      <c r="N41" s="55"/>
      <c r="O41" s="55"/>
      <c r="P41" s="55"/>
      <c r="Q41" s="54"/>
    </row>
    <row r="42">
      <c r="A42" s="204"/>
      <c r="B42" s="240">
        <v>46377.0</v>
      </c>
      <c r="C42" s="24"/>
      <c r="D42" s="240">
        <v>46378.0</v>
      </c>
      <c r="E42" s="24"/>
      <c r="F42" s="240">
        <v>46379.0</v>
      </c>
      <c r="G42" s="24"/>
      <c r="H42" s="240">
        <v>46380.0</v>
      </c>
      <c r="I42" s="24"/>
      <c r="J42" s="240">
        <v>46381.0</v>
      </c>
      <c r="K42" s="24"/>
      <c r="L42" s="240">
        <v>46382.0</v>
      </c>
      <c r="M42" s="24"/>
      <c r="N42" s="240">
        <v>46383.0</v>
      </c>
      <c r="O42" s="24"/>
      <c r="P42" s="206">
        <f>SUM(B43,D43,F43,H43,J43,L43,N43)</f>
        <v>0</v>
      </c>
      <c r="Q42" s="207"/>
    </row>
    <row r="43">
      <c r="A43" s="49"/>
      <c r="B43" s="210"/>
      <c r="C43" s="209" t="s">
        <v>295</v>
      </c>
      <c r="D43" s="210"/>
      <c r="E43" s="209" t="s">
        <v>295</v>
      </c>
      <c r="F43" s="210"/>
      <c r="G43" s="209" t="s">
        <v>295</v>
      </c>
      <c r="H43" s="210"/>
      <c r="I43" s="209" t="s">
        <v>295</v>
      </c>
      <c r="J43" s="210"/>
      <c r="K43" s="209" t="s">
        <v>295</v>
      </c>
      <c r="L43" s="210"/>
      <c r="M43" s="209" t="s">
        <v>295</v>
      </c>
      <c r="N43" s="210"/>
      <c r="O43" s="209" t="s">
        <v>295</v>
      </c>
      <c r="P43" s="49"/>
      <c r="Q43" s="49"/>
    </row>
    <row r="44">
      <c r="A44" s="49"/>
      <c r="B44" s="213"/>
      <c r="C44" s="212"/>
      <c r="D44" s="213"/>
      <c r="E44" s="212"/>
      <c r="F44" s="213"/>
      <c r="G44" s="212"/>
      <c r="H44" s="213"/>
      <c r="I44" s="212"/>
      <c r="J44" s="213"/>
      <c r="K44" s="212"/>
      <c r="L44" s="213"/>
      <c r="M44" s="212"/>
      <c r="N44" s="213"/>
      <c r="O44" s="212"/>
      <c r="P44" s="49"/>
      <c r="Q44" s="49"/>
    </row>
    <row r="45">
      <c r="A45" s="49"/>
      <c r="B45" s="209" t="s">
        <v>302</v>
      </c>
      <c r="C45" s="209" t="s">
        <v>303</v>
      </c>
      <c r="D45" s="209" t="s">
        <v>302</v>
      </c>
      <c r="E45" s="209" t="s">
        <v>303</v>
      </c>
      <c r="F45" s="209" t="s">
        <v>302</v>
      </c>
      <c r="G45" s="209" t="s">
        <v>303</v>
      </c>
      <c r="H45" s="209" t="s">
        <v>302</v>
      </c>
      <c r="I45" s="209" t="s">
        <v>303</v>
      </c>
      <c r="J45" s="209" t="s">
        <v>302</v>
      </c>
      <c r="K45" s="209" t="s">
        <v>303</v>
      </c>
      <c r="L45" s="209" t="s">
        <v>302</v>
      </c>
      <c r="M45" s="209" t="s">
        <v>303</v>
      </c>
      <c r="N45" s="209" t="s">
        <v>302</v>
      </c>
      <c r="O45" s="209" t="s">
        <v>303</v>
      </c>
      <c r="P45" s="49"/>
      <c r="Q45" s="49"/>
    </row>
    <row r="46">
      <c r="A46" s="49"/>
      <c r="B46" s="214"/>
      <c r="C46" s="214"/>
      <c r="D46" s="214"/>
      <c r="E46" s="214"/>
      <c r="F46" s="214"/>
      <c r="G46" s="214"/>
      <c r="H46" s="214"/>
      <c r="I46" s="214"/>
      <c r="J46" s="214"/>
      <c r="K46" s="214"/>
      <c r="L46" s="214"/>
      <c r="M46" s="215"/>
      <c r="N46" s="214"/>
      <c r="O46" s="214"/>
      <c r="P46" s="3"/>
      <c r="Q46" s="3"/>
    </row>
    <row r="47">
      <c r="A47" s="216"/>
      <c r="B47" s="217" t="s">
        <v>305</v>
      </c>
      <c r="C47" s="24"/>
      <c r="D47" s="217" t="s">
        <v>305</v>
      </c>
      <c r="E47" s="24"/>
      <c r="F47" s="217" t="s">
        <v>305</v>
      </c>
      <c r="G47" s="24"/>
      <c r="H47" s="217" t="s">
        <v>305</v>
      </c>
      <c r="I47" s="24"/>
      <c r="J47" s="217" t="s">
        <v>305</v>
      </c>
      <c r="K47" s="24"/>
      <c r="L47" s="217" t="s">
        <v>305</v>
      </c>
      <c r="M47" s="24"/>
      <c r="N47" s="217" t="s">
        <v>305</v>
      </c>
      <c r="O47" s="24"/>
      <c r="P47" s="218" t="s">
        <v>306</v>
      </c>
      <c r="Q47" s="24"/>
    </row>
    <row r="48">
      <c r="A48" s="49"/>
      <c r="B48" s="219"/>
      <c r="C48" s="24"/>
      <c r="D48" s="219"/>
      <c r="E48" s="24"/>
      <c r="F48" s="219"/>
      <c r="G48" s="24"/>
      <c r="H48" s="219"/>
      <c r="I48" s="24"/>
      <c r="J48" s="219"/>
      <c r="K48" s="24"/>
      <c r="L48" s="219"/>
      <c r="M48" s="24"/>
      <c r="N48" s="219"/>
      <c r="O48" s="24"/>
      <c r="P48" s="219"/>
      <c r="Q48" s="24"/>
    </row>
    <row r="49">
      <c r="A49" s="49"/>
      <c r="B49" s="220" t="s">
        <v>307</v>
      </c>
      <c r="C49" s="221" t="b">
        <v>0</v>
      </c>
      <c r="D49" s="220" t="s">
        <v>307</v>
      </c>
      <c r="E49" s="223" t="b">
        <v>0</v>
      </c>
      <c r="F49" s="220" t="s">
        <v>307</v>
      </c>
      <c r="G49" s="223" t="b">
        <v>0</v>
      </c>
      <c r="H49" s="220" t="s">
        <v>307</v>
      </c>
      <c r="I49" s="223" t="b">
        <v>0</v>
      </c>
      <c r="J49" s="220" t="s">
        <v>307</v>
      </c>
      <c r="K49" s="223" t="b">
        <v>0</v>
      </c>
      <c r="L49" s="220" t="s">
        <v>307</v>
      </c>
      <c r="M49" s="223" t="b">
        <v>0</v>
      </c>
      <c r="N49" s="220" t="s">
        <v>307</v>
      </c>
      <c r="O49" s="223" t="b">
        <v>0</v>
      </c>
      <c r="P49" s="224">
        <f t="shared" ref="P49:P50" si="4">COUNTIF(B49:O49,True)/COUNTA(B49:O49)%/50</f>
        <v>0</v>
      </c>
      <c r="Q49" s="225" t="s">
        <v>308</v>
      </c>
    </row>
    <row r="50">
      <c r="A50" s="49"/>
      <c r="B50" s="220" t="s">
        <v>309</v>
      </c>
      <c r="C50" s="221" t="b">
        <v>0</v>
      </c>
      <c r="D50" s="220" t="s">
        <v>309</v>
      </c>
      <c r="E50" s="221" t="b">
        <v>0</v>
      </c>
      <c r="F50" s="220" t="s">
        <v>309</v>
      </c>
      <c r="G50" s="223" t="b">
        <v>0</v>
      </c>
      <c r="H50" s="220" t="s">
        <v>309</v>
      </c>
      <c r="I50" s="223" t="b">
        <v>0</v>
      </c>
      <c r="J50" s="220" t="s">
        <v>309</v>
      </c>
      <c r="K50" s="223" t="b">
        <v>0</v>
      </c>
      <c r="L50" s="220" t="s">
        <v>309</v>
      </c>
      <c r="M50" s="223" t="b">
        <v>0</v>
      </c>
      <c r="N50" s="220" t="s">
        <v>309</v>
      </c>
      <c r="O50" s="223" t="b">
        <v>0</v>
      </c>
      <c r="P50" s="224">
        <f t="shared" si="4"/>
        <v>0</v>
      </c>
      <c r="Q50" s="3"/>
    </row>
    <row r="51">
      <c r="A51" s="49"/>
      <c r="B51" s="226" t="s">
        <v>310</v>
      </c>
      <c r="C51" s="227"/>
      <c r="D51" s="226" t="s">
        <v>310</v>
      </c>
      <c r="E51" s="227"/>
      <c r="F51" s="226" t="s">
        <v>310</v>
      </c>
      <c r="G51" s="227"/>
      <c r="H51" s="226" t="s">
        <v>310</v>
      </c>
      <c r="I51" s="227"/>
      <c r="J51" s="226" t="s">
        <v>310</v>
      </c>
      <c r="K51" s="227"/>
      <c r="L51" s="226" t="s">
        <v>310</v>
      </c>
      <c r="M51" s="227"/>
      <c r="N51" s="226" t="s">
        <v>310</v>
      </c>
      <c r="O51" s="227"/>
      <c r="P51" s="228">
        <f>COUNTIF(B51:O51,"Yes")</f>
        <v>0</v>
      </c>
      <c r="Q51" s="229" t="s">
        <v>311</v>
      </c>
    </row>
    <row r="52">
      <c r="A52" s="3"/>
      <c r="B52" s="230" t="s">
        <v>312</v>
      </c>
      <c r="C52" s="231"/>
      <c r="D52" s="230" t="s">
        <v>312</v>
      </c>
      <c r="E52" s="231"/>
      <c r="F52" s="230" t="s">
        <v>312</v>
      </c>
      <c r="G52" s="231"/>
      <c r="H52" s="230" t="s">
        <v>312</v>
      </c>
      <c r="I52" s="231"/>
      <c r="J52" s="230" t="s">
        <v>312</v>
      </c>
      <c r="K52" s="231"/>
      <c r="L52" s="230" t="s">
        <v>312</v>
      </c>
      <c r="M52" s="231"/>
      <c r="N52" s="230" t="s">
        <v>312</v>
      </c>
      <c r="O52" s="231"/>
      <c r="P52" s="232">
        <f>SUM(C52,E52,G52,I52,K52,M52,O52)/7</f>
        <v>0</v>
      </c>
      <c r="Q52" s="230" t="s">
        <v>313</v>
      </c>
    </row>
    <row r="53" ht="10.5" customHeight="1">
      <c r="A53" s="233"/>
      <c r="B53" s="55"/>
      <c r="C53" s="55"/>
      <c r="D53" s="55"/>
      <c r="E53" s="55"/>
      <c r="F53" s="55"/>
      <c r="G53" s="55"/>
      <c r="H53" s="55"/>
      <c r="I53" s="55"/>
      <c r="J53" s="55"/>
      <c r="K53" s="55"/>
      <c r="L53" s="55"/>
      <c r="M53" s="55"/>
      <c r="N53" s="55"/>
      <c r="O53" s="55"/>
      <c r="P53" s="55"/>
      <c r="Q53" s="54"/>
    </row>
    <row r="54">
      <c r="A54" s="204"/>
      <c r="B54" s="240">
        <v>46384.0</v>
      </c>
      <c r="C54" s="24"/>
      <c r="D54" s="240">
        <v>46385.0</v>
      </c>
      <c r="E54" s="24"/>
      <c r="F54" s="240">
        <v>46386.0</v>
      </c>
      <c r="G54" s="24"/>
      <c r="H54" s="240">
        <v>46387.0</v>
      </c>
      <c r="I54" s="24"/>
      <c r="J54" s="240">
        <v>46388.0</v>
      </c>
      <c r="K54" s="24"/>
      <c r="L54" s="240">
        <v>46389.0</v>
      </c>
      <c r="M54" s="24"/>
      <c r="N54" s="240">
        <v>46390.0</v>
      </c>
      <c r="O54" s="24"/>
      <c r="P54" s="206">
        <f>SUM(B55,D55,F55,H55,J55,L55,N55)</f>
        <v>0</v>
      </c>
      <c r="Q54" s="207"/>
    </row>
    <row r="55">
      <c r="A55" s="49"/>
      <c r="B55" s="210"/>
      <c r="C55" s="209" t="s">
        <v>295</v>
      </c>
      <c r="D55" s="210"/>
      <c r="E55" s="209" t="s">
        <v>295</v>
      </c>
      <c r="F55" s="210"/>
      <c r="G55" s="209" t="s">
        <v>295</v>
      </c>
      <c r="H55" s="210"/>
      <c r="I55" s="209" t="s">
        <v>295</v>
      </c>
      <c r="J55" s="210"/>
      <c r="K55" s="209" t="s">
        <v>295</v>
      </c>
      <c r="L55" s="210"/>
      <c r="M55" s="209" t="s">
        <v>295</v>
      </c>
      <c r="N55" s="210"/>
      <c r="O55" s="209" t="s">
        <v>295</v>
      </c>
      <c r="P55" s="49"/>
      <c r="Q55" s="49"/>
    </row>
    <row r="56">
      <c r="A56" s="49"/>
      <c r="B56" s="213"/>
      <c r="C56" s="212"/>
      <c r="D56" s="213"/>
      <c r="E56" s="212"/>
      <c r="F56" s="213"/>
      <c r="G56" s="212"/>
      <c r="H56" s="213"/>
      <c r="I56" s="212"/>
      <c r="J56" s="213"/>
      <c r="K56" s="212"/>
      <c r="L56" s="213"/>
      <c r="M56" s="212"/>
      <c r="N56" s="213"/>
      <c r="O56" s="212"/>
      <c r="P56" s="49"/>
      <c r="Q56" s="49"/>
    </row>
    <row r="57">
      <c r="A57" s="49"/>
      <c r="B57" s="209" t="s">
        <v>302</v>
      </c>
      <c r="C57" s="209" t="s">
        <v>303</v>
      </c>
      <c r="D57" s="209" t="s">
        <v>302</v>
      </c>
      <c r="E57" s="209" t="s">
        <v>303</v>
      </c>
      <c r="F57" s="209" t="s">
        <v>302</v>
      </c>
      <c r="G57" s="209" t="s">
        <v>303</v>
      </c>
      <c r="H57" s="209" t="s">
        <v>302</v>
      </c>
      <c r="I57" s="209" t="s">
        <v>303</v>
      </c>
      <c r="J57" s="209" t="s">
        <v>302</v>
      </c>
      <c r="K57" s="209" t="s">
        <v>303</v>
      </c>
      <c r="L57" s="209" t="s">
        <v>302</v>
      </c>
      <c r="M57" s="209" t="s">
        <v>303</v>
      </c>
      <c r="N57" s="209" t="s">
        <v>302</v>
      </c>
      <c r="O57" s="209" t="s">
        <v>303</v>
      </c>
      <c r="P57" s="49"/>
      <c r="Q57" s="49"/>
    </row>
    <row r="58">
      <c r="A58" s="49"/>
      <c r="B58" s="214"/>
      <c r="C58" s="214"/>
      <c r="D58" s="214"/>
      <c r="E58" s="214"/>
      <c r="F58" s="214"/>
      <c r="G58" s="214"/>
      <c r="H58" s="214"/>
      <c r="I58" s="214"/>
      <c r="J58" s="214"/>
      <c r="K58" s="214"/>
      <c r="L58" s="214"/>
      <c r="M58" s="215"/>
      <c r="N58" s="214"/>
      <c r="O58" s="214"/>
      <c r="P58" s="3"/>
      <c r="Q58" s="3"/>
    </row>
    <row r="59">
      <c r="A59" s="216"/>
      <c r="B59" s="217" t="s">
        <v>305</v>
      </c>
      <c r="C59" s="24"/>
      <c r="D59" s="217" t="s">
        <v>305</v>
      </c>
      <c r="E59" s="24"/>
      <c r="F59" s="217" t="s">
        <v>305</v>
      </c>
      <c r="G59" s="24"/>
      <c r="H59" s="217" t="s">
        <v>305</v>
      </c>
      <c r="I59" s="24"/>
      <c r="J59" s="217" t="s">
        <v>305</v>
      </c>
      <c r="K59" s="24"/>
      <c r="L59" s="217" t="s">
        <v>305</v>
      </c>
      <c r="M59" s="24"/>
      <c r="N59" s="217" t="s">
        <v>305</v>
      </c>
      <c r="O59" s="24"/>
      <c r="P59" s="218" t="s">
        <v>306</v>
      </c>
      <c r="Q59" s="24"/>
    </row>
    <row r="60">
      <c r="A60" s="49"/>
      <c r="B60" s="219"/>
      <c r="C60" s="24"/>
      <c r="D60" s="219"/>
      <c r="E60" s="24"/>
      <c r="F60" s="219"/>
      <c r="G60" s="24"/>
      <c r="H60" s="219"/>
      <c r="I60" s="24"/>
      <c r="J60" s="219"/>
      <c r="K60" s="24"/>
      <c r="L60" s="219"/>
      <c r="M60" s="24"/>
      <c r="N60" s="219"/>
      <c r="O60" s="24"/>
      <c r="P60" s="219"/>
      <c r="Q60" s="24"/>
    </row>
    <row r="61">
      <c r="A61" s="49"/>
      <c r="B61" s="220" t="s">
        <v>307</v>
      </c>
      <c r="C61" s="221" t="b">
        <v>0</v>
      </c>
      <c r="D61" s="220" t="s">
        <v>307</v>
      </c>
      <c r="E61" s="223" t="b">
        <v>0</v>
      </c>
      <c r="F61" s="220" t="s">
        <v>307</v>
      </c>
      <c r="G61" s="223" t="b">
        <v>0</v>
      </c>
      <c r="H61" s="220" t="s">
        <v>307</v>
      </c>
      <c r="I61" s="223" t="b">
        <v>0</v>
      </c>
      <c r="J61" s="220" t="s">
        <v>307</v>
      </c>
      <c r="K61" s="223" t="b">
        <v>0</v>
      </c>
      <c r="L61" s="220" t="s">
        <v>307</v>
      </c>
      <c r="M61" s="223" t="b">
        <v>0</v>
      </c>
      <c r="N61" s="220" t="s">
        <v>307</v>
      </c>
      <c r="O61" s="223" t="b">
        <v>0</v>
      </c>
      <c r="P61" s="224">
        <f t="shared" ref="P61:P62" si="5">COUNTIF(B61:O61,True)/COUNTA(B61:O61)%/50</f>
        <v>0</v>
      </c>
      <c r="Q61" s="225" t="s">
        <v>308</v>
      </c>
    </row>
    <row r="62">
      <c r="A62" s="49"/>
      <c r="B62" s="220" t="s">
        <v>309</v>
      </c>
      <c r="C62" s="221" t="b">
        <v>0</v>
      </c>
      <c r="D62" s="220" t="s">
        <v>309</v>
      </c>
      <c r="E62" s="221" t="b">
        <v>0</v>
      </c>
      <c r="F62" s="220" t="s">
        <v>309</v>
      </c>
      <c r="G62" s="223" t="b">
        <v>0</v>
      </c>
      <c r="H62" s="220" t="s">
        <v>309</v>
      </c>
      <c r="I62" s="223" t="b">
        <v>0</v>
      </c>
      <c r="J62" s="220" t="s">
        <v>309</v>
      </c>
      <c r="K62" s="223" t="b">
        <v>0</v>
      </c>
      <c r="L62" s="220" t="s">
        <v>309</v>
      </c>
      <c r="M62" s="223" t="b">
        <v>0</v>
      </c>
      <c r="N62" s="220" t="s">
        <v>309</v>
      </c>
      <c r="O62" s="223" t="b">
        <v>0</v>
      </c>
      <c r="P62" s="224">
        <f t="shared" si="5"/>
        <v>0</v>
      </c>
      <c r="Q62" s="3"/>
    </row>
    <row r="63">
      <c r="A63" s="49"/>
      <c r="B63" s="226" t="s">
        <v>310</v>
      </c>
      <c r="C63" s="227"/>
      <c r="D63" s="226" t="s">
        <v>310</v>
      </c>
      <c r="E63" s="227"/>
      <c r="F63" s="226" t="s">
        <v>310</v>
      </c>
      <c r="G63" s="227"/>
      <c r="H63" s="226" t="s">
        <v>310</v>
      </c>
      <c r="I63" s="227"/>
      <c r="J63" s="226" t="s">
        <v>310</v>
      </c>
      <c r="K63" s="227"/>
      <c r="L63" s="226" t="s">
        <v>310</v>
      </c>
      <c r="M63" s="227"/>
      <c r="N63" s="226" t="s">
        <v>310</v>
      </c>
      <c r="O63" s="227"/>
      <c r="P63" s="228">
        <f>COUNTIF(B63:O63,"Yes")</f>
        <v>0</v>
      </c>
      <c r="Q63" s="229" t="s">
        <v>311</v>
      </c>
    </row>
    <row r="64">
      <c r="A64" s="3"/>
      <c r="B64" s="230" t="s">
        <v>312</v>
      </c>
      <c r="C64" s="231"/>
      <c r="D64" s="230" t="s">
        <v>312</v>
      </c>
      <c r="E64" s="231"/>
      <c r="F64" s="230" t="s">
        <v>312</v>
      </c>
      <c r="G64" s="231"/>
      <c r="H64" s="230" t="s">
        <v>312</v>
      </c>
      <c r="I64" s="231"/>
      <c r="J64" s="230" t="s">
        <v>312</v>
      </c>
      <c r="K64" s="231"/>
      <c r="L64" s="230" t="s">
        <v>312</v>
      </c>
      <c r="M64" s="231"/>
      <c r="N64" s="230" t="s">
        <v>312</v>
      </c>
      <c r="O64" s="231"/>
      <c r="P64" s="232">
        <f>SUM(C64,E64,G64,I64,K64,M64,O64)/7</f>
        <v>0</v>
      </c>
      <c r="Q64" s="230" t="s">
        <v>313</v>
      </c>
    </row>
  </sheetData>
  <mergeCells count="168">
    <mergeCell ref="B18:C18"/>
    <mergeCell ref="B23:C23"/>
    <mergeCell ref="A23:A28"/>
    <mergeCell ref="B24:C24"/>
    <mergeCell ref="A30:A34"/>
    <mergeCell ref="B30:C30"/>
    <mergeCell ref="A35:A40"/>
    <mergeCell ref="B35:C35"/>
    <mergeCell ref="D35:E35"/>
    <mergeCell ref="A54:A58"/>
    <mergeCell ref="A59:A64"/>
    <mergeCell ref="B59:C59"/>
    <mergeCell ref="D59:E59"/>
    <mergeCell ref="B60:C60"/>
    <mergeCell ref="D60:E60"/>
    <mergeCell ref="A47:A52"/>
    <mergeCell ref="B47:C47"/>
    <mergeCell ref="D47:E47"/>
    <mergeCell ref="B48:C48"/>
    <mergeCell ref="D48:E48"/>
    <mergeCell ref="B54:C54"/>
    <mergeCell ref="D54:E54"/>
    <mergeCell ref="L59:M59"/>
    <mergeCell ref="N59:O59"/>
    <mergeCell ref="Q61:Q62"/>
    <mergeCell ref="F59:G59"/>
    <mergeCell ref="F60:G60"/>
    <mergeCell ref="H60:I60"/>
    <mergeCell ref="J60:K60"/>
    <mergeCell ref="L60:M60"/>
    <mergeCell ref="N60:O60"/>
    <mergeCell ref="P60:Q60"/>
    <mergeCell ref="J54:K54"/>
    <mergeCell ref="L54:M54"/>
    <mergeCell ref="P54:P58"/>
    <mergeCell ref="Q54:Q58"/>
    <mergeCell ref="H59:I59"/>
    <mergeCell ref="J59:K59"/>
    <mergeCell ref="P59:Q59"/>
    <mergeCell ref="N18:O18"/>
    <mergeCell ref="P18:P22"/>
    <mergeCell ref="Q18:Q22"/>
    <mergeCell ref="H23:I23"/>
    <mergeCell ref="J23:K23"/>
    <mergeCell ref="N23:O23"/>
    <mergeCell ref="P23:Q23"/>
    <mergeCell ref="A18:A22"/>
    <mergeCell ref="D18:E18"/>
    <mergeCell ref="F18:G18"/>
    <mergeCell ref="H18:I18"/>
    <mergeCell ref="J18:K18"/>
    <mergeCell ref="L18:M18"/>
    <mergeCell ref="L23:M23"/>
    <mergeCell ref="D23:E23"/>
    <mergeCell ref="F23:G23"/>
    <mergeCell ref="D24:E24"/>
    <mergeCell ref="F24:G24"/>
    <mergeCell ref="H24:I24"/>
    <mergeCell ref="J24:K24"/>
    <mergeCell ref="L24:M24"/>
    <mergeCell ref="N30:O30"/>
    <mergeCell ref="A41:Q41"/>
    <mergeCell ref="N24:O24"/>
    <mergeCell ref="P24:Q24"/>
    <mergeCell ref="Q25:Q26"/>
    <mergeCell ref="A29:Q29"/>
    <mergeCell ref="D30:E30"/>
    <mergeCell ref="F30:G30"/>
    <mergeCell ref="H30:I30"/>
    <mergeCell ref="H48:I48"/>
    <mergeCell ref="J48:K48"/>
    <mergeCell ref="P48:Q48"/>
    <mergeCell ref="Q49:Q50"/>
    <mergeCell ref="A53:Q53"/>
    <mergeCell ref="F54:G54"/>
    <mergeCell ref="H54:I54"/>
    <mergeCell ref="N54:O54"/>
    <mergeCell ref="F4:G4"/>
    <mergeCell ref="H4:I4"/>
    <mergeCell ref="D5:E5"/>
    <mergeCell ref="F5:G5"/>
    <mergeCell ref="D6:E6"/>
    <mergeCell ref="F6:G6"/>
    <mergeCell ref="D11:E11"/>
    <mergeCell ref="F11:G11"/>
    <mergeCell ref="H11:I11"/>
    <mergeCell ref="N12:O12"/>
    <mergeCell ref="P12:Q12"/>
    <mergeCell ref="J11:K11"/>
    <mergeCell ref="L11:M11"/>
    <mergeCell ref="N11:O11"/>
    <mergeCell ref="P11:Q11"/>
    <mergeCell ref="D12:E12"/>
    <mergeCell ref="F12:G12"/>
    <mergeCell ref="H12:I12"/>
    <mergeCell ref="D2:E3"/>
    <mergeCell ref="B4:C4"/>
    <mergeCell ref="D4:E4"/>
    <mergeCell ref="J4:K4"/>
    <mergeCell ref="L4:M4"/>
    <mergeCell ref="N4:O4"/>
    <mergeCell ref="P4:P5"/>
    <mergeCell ref="N5:O5"/>
    <mergeCell ref="N6:O6"/>
    <mergeCell ref="P6:P10"/>
    <mergeCell ref="Q6:Q10"/>
    <mergeCell ref="Q13:Q14"/>
    <mergeCell ref="H5:I5"/>
    <mergeCell ref="J5:K5"/>
    <mergeCell ref="H6:I6"/>
    <mergeCell ref="J6:K6"/>
    <mergeCell ref="L6:M6"/>
    <mergeCell ref="B1:G1"/>
    <mergeCell ref="H1:I3"/>
    <mergeCell ref="J1:O3"/>
    <mergeCell ref="P1:Q3"/>
    <mergeCell ref="F2:G2"/>
    <mergeCell ref="F3:G3"/>
    <mergeCell ref="Q4:Q5"/>
    <mergeCell ref="L5:M5"/>
    <mergeCell ref="J12:K12"/>
    <mergeCell ref="L12:M12"/>
    <mergeCell ref="A17:Q17"/>
    <mergeCell ref="A1:A5"/>
    <mergeCell ref="B5:C5"/>
    <mergeCell ref="A6:A10"/>
    <mergeCell ref="B6:C6"/>
    <mergeCell ref="A11:A16"/>
    <mergeCell ref="B11:C11"/>
    <mergeCell ref="B12:C12"/>
    <mergeCell ref="L35:M35"/>
    <mergeCell ref="N35:O35"/>
    <mergeCell ref="J30:K30"/>
    <mergeCell ref="L30:M30"/>
    <mergeCell ref="P30:P34"/>
    <mergeCell ref="Q30:Q34"/>
    <mergeCell ref="F35:G35"/>
    <mergeCell ref="H35:I35"/>
    <mergeCell ref="J35:K35"/>
    <mergeCell ref="P35:Q35"/>
    <mergeCell ref="P36:Q36"/>
    <mergeCell ref="Q37:Q38"/>
    <mergeCell ref="B36:C36"/>
    <mergeCell ref="D36:E36"/>
    <mergeCell ref="F36:G36"/>
    <mergeCell ref="H36:I36"/>
    <mergeCell ref="J36:K36"/>
    <mergeCell ref="L36:M36"/>
    <mergeCell ref="N36:O36"/>
    <mergeCell ref="N42:O42"/>
    <mergeCell ref="P42:P46"/>
    <mergeCell ref="Q42:Q46"/>
    <mergeCell ref="A42:A46"/>
    <mergeCell ref="B42:C42"/>
    <mergeCell ref="D42:E42"/>
    <mergeCell ref="F42:G42"/>
    <mergeCell ref="H42:I42"/>
    <mergeCell ref="J42:K42"/>
    <mergeCell ref="L42:M42"/>
    <mergeCell ref="L48:M48"/>
    <mergeCell ref="N48:O48"/>
    <mergeCell ref="F47:G47"/>
    <mergeCell ref="H47:I47"/>
    <mergeCell ref="J47:K47"/>
    <mergeCell ref="L47:M47"/>
    <mergeCell ref="N47:O47"/>
    <mergeCell ref="P47:Q47"/>
    <mergeCell ref="F48:G48"/>
  </mergeCells>
  <dataValidations>
    <dataValidation type="list" allowBlank="1" showErrorMessage="1" sqref="A11 A23 A35 A47 A59">
      <formula1>"Don't Push/ Strict Paces,Focus on Recovery Don't Push,Focus HEAVILY on Rolling/ Stretching/ Recovery,Fuel Every Quality Session/ TRACK and see what works/ doesn't,Prep/Fuel Like Race Week,If you feel good; close last 10-20% of hard/ long workouts faster,S"&amp;"tay on Top of the Little Things / Be Ready to Push,Focus More on Strength,Last EASY (50%) Strength: Sat or Sun,Schedule Race Prep Call,Communicate Daily w/ Coach"</formula1>
    </dataValidation>
    <dataValidation type="list" allowBlank="1" showErrorMessage="1" sqref="C16 E16 G16 I16 K16 M16 O16 C28 E28 G28 I28 K28 M28 O28 C40 E40 G40 I40 K40 M40 O40 C52 E52 G52 I52 K52 M52 O52 C64 E64 G64 I64 K64 M64 O64">
      <formula1>"1,2,3,4,5,6,7,8,9,10"</formula1>
    </dataValidation>
    <dataValidation type="list" allowBlank="1" showErrorMessage="1" sqref="A6 A18 A30 A42 A54">
      <formula1>"REST WEEK,BUILD WEEK,PUSH WEEK,PEAK WEEK,RACE WEEK,INJURED,ILLNESS,RETURN WEEK,CROSS TRAINING,TRAVEL/ LIMITED WEEK"</formula1>
    </dataValidation>
    <dataValidation type="list" allowBlank="1" showErrorMessage="1" sqref="C15 E15 G15 I15 K15 M15 O15 C27 E27 G27 I27 K27 M27 O27 C39 E39 G39 I39 K39 M39 O39 C51 E51 G51 I51 K51 M51 O51 C63 E63 G63 I63 K63 M63 O63">
      <formula1>"Yes,No"</formula1>
    </dataValidation>
  </dataValidations>
  <hyperlinks>
    <hyperlink r:id="rId1" ref="D2"/>
    <hyperlink r:id="rId2" ref="F2"/>
    <hyperlink r:id="rId3" ref="F3"/>
  </hyperlinks>
  <drawing r:id="rId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13"/>
  </cols>
  <sheetData>
    <row r="1">
      <c r="B1" s="126" t="s">
        <v>280</v>
      </c>
      <c r="C1" s="126" t="s">
        <v>281</v>
      </c>
      <c r="D1" s="126" t="s">
        <v>282</v>
      </c>
      <c r="E1" s="126" t="s">
        <v>283</v>
      </c>
      <c r="F1" s="126" t="s">
        <v>284</v>
      </c>
      <c r="G1" s="126" t="s">
        <v>285</v>
      </c>
      <c r="H1" s="126" t="s">
        <v>286</v>
      </c>
      <c r="I1" s="126" t="s">
        <v>386</v>
      </c>
      <c r="J1" s="245" t="s">
        <v>387</v>
      </c>
      <c r="K1" s="24"/>
      <c r="L1" s="246" t="s">
        <v>388</v>
      </c>
      <c r="M1" s="24"/>
    </row>
    <row r="2">
      <c r="B2" s="247" t="s">
        <v>389</v>
      </c>
      <c r="C2" s="247" t="s">
        <v>390</v>
      </c>
      <c r="D2" s="247" t="s">
        <v>391</v>
      </c>
      <c r="E2" s="247" t="s">
        <v>392</v>
      </c>
      <c r="F2" s="247" t="s">
        <v>393</v>
      </c>
      <c r="G2" s="247" t="s">
        <v>394</v>
      </c>
      <c r="H2" s="247" t="s">
        <v>395</v>
      </c>
      <c r="I2" s="248">
        <f>SUM(B3:H3)</f>
        <v>0</v>
      </c>
      <c r="J2" s="249"/>
      <c r="K2" s="42"/>
      <c r="L2" s="250" t="s">
        <v>396</v>
      </c>
      <c r="M2" s="251"/>
    </row>
    <row r="3">
      <c r="B3" s="252"/>
      <c r="C3" s="252"/>
      <c r="D3" s="252"/>
      <c r="E3" s="252"/>
      <c r="F3" s="252"/>
      <c r="G3" s="252"/>
      <c r="H3" s="252"/>
      <c r="I3" s="49"/>
      <c r="J3" s="50"/>
      <c r="K3" s="51"/>
      <c r="L3" s="250" t="s">
        <v>26</v>
      </c>
      <c r="M3" s="251"/>
    </row>
    <row r="4">
      <c r="B4" s="253"/>
      <c r="C4" s="253"/>
      <c r="D4" s="253"/>
      <c r="E4" s="253"/>
      <c r="F4" s="253"/>
      <c r="G4" s="253"/>
      <c r="H4" s="253"/>
      <c r="I4" s="3"/>
      <c r="J4" s="53"/>
      <c r="K4" s="54"/>
      <c r="L4" s="254" t="s">
        <v>105</v>
      </c>
      <c r="M4" s="251"/>
    </row>
    <row r="5">
      <c r="B5" s="247" t="s">
        <v>397</v>
      </c>
      <c r="C5" s="247" t="s">
        <v>398</v>
      </c>
      <c r="D5" s="247" t="s">
        <v>399</v>
      </c>
      <c r="E5" s="247" t="s">
        <v>400</v>
      </c>
      <c r="F5" s="247" t="s">
        <v>401</v>
      </c>
      <c r="G5" s="247" t="s">
        <v>402</v>
      </c>
      <c r="H5" s="247" t="s">
        <v>403</v>
      </c>
      <c r="I5" s="248">
        <f>SUM(B6:H6)</f>
        <v>0</v>
      </c>
      <c r="J5" s="249"/>
      <c r="K5" s="42"/>
      <c r="L5" s="250" t="s">
        <v>396</v>
      </c>
      <c r="M5" s="251"/>
    </row>
    <row r="6">
      <c r="B6" s="252"/>
      <c r="C6" s="252"/>
      <c r="D6" s="252"/>
      <c r="E6" s="252"/>
      <c r="F6" s="252"/>
      <c r="G6" s="252"/>
      <c r="H6" s="252"/>
      <c r="I6" s="49"/>
      <c r="J6" s="50"/>
      <c r="K6" s="51"/>
      <c r="L6" s="250" t="s">
        <v>26</v>
      </c>
      <c r="M6" s="251"/>
    </row>
    <row r="7">
      <c r="B7" s="253"/>
      <c r="C7" s="253"/>
      <c r="D7" s="253"/>
      <c r="E7" s="253"/>
      <c r="F7" s="253"/>
      <c r="G7" s="253"/>
      <c r="H7" s="253"/>
      <c r="I7" s="3"/>
      <c r="J7" s="53"/>
      <c r="K7" s="54"/>
      <c r="L7" s="254" t="s">
        <v>105</v>
      </c>
      <c r="M7" s="251"/>
    </row>
    <row r="8">
      <c r="B8" s="247" t="s">
        <v>404</v>
      </c>
      <c r="C8" s="247" t="s">
        <v>405</v>
      </c>
      <c r="D8" s="247" t="s">
        <v>406</v>
      </c>
      <c r="E8" s="247" t="s">
        <v>407</v>
      </c>
      <c r="F8" s="247" t="s">
        <v>408</v>
      </c>
      <c r="G8" s="247" t="s">
        <v>409</v>
      </c>
      <c r="H8" s="247" t="s">
        <v>410</v>
      </c>
      <c r="I8" s="248">
        <f>SUM(B9:H9)</f>
        <v>0</v>
      </c>
      <c r="J8" s="249"/>
      <c r="K8" s="42"/>
      <c r="L8" s="250" t="s">
        <v>396</v>
      </c>
      <c r="M8" s="251"/>
    </row>
    <row r="9">
      <c r="B9" s="252"/>
      <c r="C9" s="252"/>
      <c r="D9" s="252"/>
      <c r="E9" s="252"/>
      <c r="F9" s="252"/>
      <c r="G9" s="252"/>
      <c r="H9" s="252"/>
      <c r="I9" s="49"/>
      <c r="J9" s="50"/>
      <c r="K9" s="51"/>
      <c r="L9" s="250" t="s">
        <v>26</v>
      </c>
      <c r="M9" s="251"/>
    </row>
    <row r="10">
      <c r="B10" s="253"/>
      <c r="C10" s="253"/>
      <c r="D10" s="253"/>
      <c r="E10" s="253"/>
      <c r="F10" s="253"/>
      <c r="G10" s="253"/>
      <c r="H10" s="253"/>
      <c r="I10" s="3"/>
      <c r="J10" s="53"/>
      <c r="K10" s="54"/>
      <c r="L10" s="254" t="s">
        <v>105</v>
      </c>
      <c r="M10" s="251"/>
    </row>
    <row r="11">
      <c r="B11" s="247" t="s">
        <v>411</v>
      </c>
      <c r="C11" s="247" t="s">
        <v>412</v>
      </c>
      <c r="D11" s="247" t="s">
        <v>413</v>
      </c>
      <c r="E11" s="247" t="s">
        <v>414</v>
      </c>
      <c r="F11" s="247" t="s">
        <v>415</v>
      </c>
      <c r="G11" s="247" t="s">
        <v>416</v>
      </c>
      <c r="H11" s="247" t="s">
        <v>417</v>
      </c>
      <c r="I11" s="248">
        <f>SUM(B12:H12)</f>
        <v>0</v>
      </c>
      <c r="J11" s="249"/>
      <c r="K11" s="42"/>
      <c r="L11" s="250" t="s">
        <v>396</v>
      </c>
      <c r="M11" s="251"/>
    </row>
    <row r="12">
      <c r="B12" s="252"/>
      <c r="C12" s="252"/>
      <c r="D12" s="252"/>
      <c r="E12" s="252"/>
      <c r="F12" s="252"/>
      <c r="G12" s="252"/>
      <c r="H12" s="252"/>
      <c r="I12" s="49"/>
      <c r="J12" s="50"/>
      <c r="K12" s="51"/>
      <c r="L12" s="250" t="s">
        <v>26</v>
      </c>
      <c r="M12" s="251"/>
    </row>
    <row r="13">
      <c r="B13" s="253"/>
      <c r="C13" s="253"/>
      <c r="D13" s="253"/>
      <c r="E13" s="253"/>
      <c r="F13" s="253"/>
      <c r="G13" s="253"/>
      <c r="H13" s="253"/>
      <c r="I13" s="3"/>
      <c r="J13" s="53"/>
      <c r="K13" s="54"/>
      <c r="L13" s="255" t="s">
        <v>105</v>
      </c>
      <c r="M13" s="251"/>
    </row>
  </sheetData>
  <mergeCells count="10">
    <mergeCell ref="I8:I10"/>
    <mergeCell ref="I11:I13"/>
    <mergeCell ref="J11:K13"/>
    <mergeCell ref="J1:K1"/>
    <mergeCell ref="L1:M1"/>
    <mergeCell ref="I2:I4"/>
    <mergeCell ref="J2:K4"/>
    <mergeCell ref="I5:I7"/>
    <mergeCell ref="J5:K7"/>
    <mergeCell ref="J8:K10"/>
  </mergeCells>
  <drawing r:id="rId1"/>
</worksheet>
</file>